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GTCA.LOCAL\Offices\Toronto-IBG\Data\Continuing Files\C\Cohen, Jason\BMO advisory 2025\"/>
    </mc:Choice>
  </mc:AlternateContent>
  <xr:revisionPtr revIDLastSave="0" documentId="13_ncr:1_{EF92C2C9-324B-4D41-8E4A-0D1BA2C5B220}" xr6:coauthVersionLast="47" xr6:coauthVersionMax="47" xr10:uidLastSave="{00000000-0000-0000-0000-000000000000}"/>
  <bookViews>
    <workbookView xWindow="-120" yWindow="-120" windowWidth="38640" windowHeight="21120" activeTab="1" xr2:uid="{BF83BC68-7463-47B8-854F-FB4DA574CD80}"/>
  </bookViews>
  <sheets>
    <sheet name="Example Cash &amp; Cost Summary" sheetId="2" r:id="rId1"/>
    <sheet name="_EXPORT_JCOHEN06__TRANS_HIST_16" sheetId="1" r:id="rId2"/>
  </sheets>
  <definedNames>
    <definedName name="_xlnm._FilterDatabase" localSheetId="1" hidden="1">_EXPORT_JCOHEN06__TRANS_HIST_16!$A$7:$X$7</definedName>
  </definedNames>
  <calcPr calcId="191029" iterateCount="1" calcOnSave="0" concurrentCalc="0"/>
  <pivotCaches>
    <pivotCache cacheId="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2" i="1" l="1"/>
  <c r="P51" i="1"/>
  <c r="P48" i="1"/>
  <c r="P47" i="1"/>
  <c r="P44" i="1"/>
  <c r="P43" i="1"/>
  <c r="P42" i="1"/>
  <c r="P41" i="1"/>
  <c r="P37" i="1"/>
  <c r="P36" i="1"/>
  <c r="P35" i="1"/>
  <c r="P34" i="1"/>
  <c r="P23" i="1"/>
  <c r="P22" i="1"/>
  <c r="P19" i="1"/>
  <c r="P18" i="1"/>
  <c r="P11" i="1"/>
  <c r="P10" i="1"/>
  <c r="P9" i="1"/>
  <c r="P8" i="1"/>
  <c r="J22" i="2"/>
  <c r="Q22" i="2"/>
  <c r="Q15" i="2"/>
  <c r="J15" i="2"/>
  <c r="Q21" i="2"/>
  <c r="Q18" i="2"/>
  <c r="Q13" i="2"/>
  <c r="Q12" i="2"/>
  <c r="Q10" i="2"/>
  <c r="J21" i="2"/>
  <c r="J18" i="2"/>
  <c r="J17" i="2"/>
  <c r="J13" i="2"/>
  <c r="J12" i="2"/>
  <c r="J11" i="2"/>
  <c r="J10" i="2"/>
  <c r="M9" i="2"/>
  <c r="L6" i="2"/>
  <c r="L9" i="2"/>
  <c r="M11" i="2"/>
  <c r="L5" i="2"/>
  <c r="L19" i="2"/>
  <c r="H19" i="2"/>
  <c r="H9" i="2"/>
  <c r="H6" i="2"/>
  <c r="H5" i="2"/>
  <c r="L17" i="2"/>
  <c r="P11" i="2"/>
  <c r="Q11" i="2"/>
  <c r="O9" i="2"/>
  <c r="P9" i="2"/>
  <c r="O5" i="2"/>
  <c r="M5" i="2"/>
  <c r="M24" i="2"/>
  <c r="O17" i="2"/>
  <c r="Q17" i="2"/>
  <c r="O6" i="2"/>
  <c r="Q7" i="2"/>
  <c r="O19" i="2"/>
  <c r="L24" i="2"/>
  <c r="J19" i="2"/>
  <c r="J7" i="2"/>
  <c r="J9" i="2"/>
  <c r="I5" i="2"/>
  <c r="I24" i="2"/>
  <c r="J27" i="2"/>
  <c r="H24" i="2"/>
  <c r="J26" i="2"/>
  <c r="Q9" i="2"/>
  <c r="P5" i="2"/>
  <c r="P24" i="2"/>
  <c r="Q27" i="2"/>
  <c r="O24" i="2"/>
  <c r="Q26" i="2"/>
  <c r="Q19" i="2"/>
  <c r="J5" i="2"/>
  <c r="J29" i="2"/>
  <c r="Q5" i="2"/>
  <c r="Q2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Raymond Mustard</author>
  </authors>
  <commentList>
    <comment ref="M6" authorId="0" shapeId="0" xr:uid="{A31FED03-6681-4E3C-8EB7-7F7A72077D47}">
      <text>
        <r>
          <rPr>
            <b/>
            <sz val="9"/>
            <color indexed="81"/>
            <rFont val="Tahoma"/>
            <family val="2"/>
          </rPr>
          <t>Raymond Mustard:</t>
        </r>
        <r>
          <rPr>
            <sz val="9"/>
            <color indexed="81"/>
            <rFont val="Tahoma"/>
            <family val="2"/>
          </rPr>
          <t xml:space="preserve">
Note that this cost figure needs to include cost of money market funds sold. Particularly for the US, since there will be CAD cost issues.</t>
        </r>
      </text>
    </comment>
  </commentList>
</comments>
</file>

<file path=xl/sharedStrings.xml><?xml version="1.0" encoding="utf-8"?>
<sst xmlns="http://schemas.openxmlformats.org/spreadsheetml/2006/main" count="431" uniqueCount="137">
  <si>
    <t>INVESTMENT ADVISOR: AJ2 COHEN JASON</t>
  </si>
  <si>
    <t>SELECTION CRITERIA: All transaction types</t>
  </si>
  <si>
    <t>SECURITY: All securities</t>
  </si>
  <si>
    <t xml:space="preserve">                      </t>
  </si>
  <si>
    <t>TRANS/VALUE DATE</t>
  </si>
  <si>
    <t>ENTRY DATE</t>
  </si>
  <si>
    <t>TRANS TYPE</t>
  </si>
  <si>
    <t>A/C</t>
  </si>
  <si>
    <t>ST</t>
  </si>
  <si>
    <t>QUANTITY</t>
  </si>
  <si>
    <t>TRADE NO</t>
  </si>
  <si>
    <t>CUSIP</t>
  </si>
  <si>
    <t>SYMBOL</t>
  </si>
  <si>
    <t>SECURITY DESCRIPTION</t>
  </si>
  <si>
    <t>AVG COST</t>
  </si>
  <si>
    <t>UNIT PRICE</t>
  </si>
  <si>
    <t>TOTAL AMOUNT</t>
  </si>
  <si>
    <t>REMARK</t>
  </si>
  <si>
    <t>GAIN/LOSS</t>
  </si>
  <si>
    <t>CXLD</t>
  </si>
  <si>
    <t>LONG REMARK</t>
  </si>
  <si>
    <t>COMMISSION</t>
  </si>
  <si>
    <t>Stock Div</t>
  </si>
  <si>
    <t>15U</t>
  </si>
  <si>
    <t>D054219</t>
  </si>
  <si>
    <t>1000THS DYNAMIC CR  ABSOLUTE R</t>
  </si>
  <si>
    <t>U</t>
  </si>
  <si>
    <t>DIV C5</t>
  </si>
  <si>
    <t>AS OF 08/29/25                 MGMT FEE REBATE @ $10.3492</t>
  </si>
  <si>
    <t>D054220</t>
  </si>
  <si>
    <t>DYN27730</t>
  </si>
  <si>
    <t>DYNAMIC CR  ABSOLUTE RETURN FD</t>
  </si>
  <si>
    <t>AS OF 08/29/25                 REINVESTED DIVIDENDS @$10.3492</t>
  </si>
  <si>
    <t>Transfer</t>
  </si>
  <si>
    <t>LOA P4</t>
  </si>
  <si>
    <t>FROM U$ ACCOUNT</t>
  </si>
  <si>
    <t>TO C$ ACCOUNT</t>
  </si>
  <si>
    <t>Interest</t>
  </si>
  <si>
    <t>INT FR 07/22 THRU08/21@ 6.100%</t>
  </si>
  <si>
    <t>INT</t>
  </si>
  <si>
    <t>INT FR 07/22 THRU08/21@ 6.100% BAL    2 794   AVBAL    1 698</t>
  </si>
  <si>
    <t>Journal Sale</t>
  </si>
  <si>
    <t>SEL KP</t>
  </si>
  <si>
    <t>AS OF 08/21/25                 DEL FRACTIONAL SHARES OUT RE   SALE OF 202.538 SHARES</t>
  </si>
  <si>
    <t>20-Aug-2025/21-Aug-2025</t>
  </si>
  <si>
    <t>SELL</t>
  </si>
  <si>
    <t>15-Aug-2025/15-Aug-2025</t>
  </si>
  <si>
    <t>BUY</t>
  </si>
  <si>
    <t>MERIDIAN PROGRAM(HST INCL REG</t>
  </si>
  <si>
    <t>AS OF 07/31/25                 MGMT FEE REBATE @ $10.3365</t>
  </si>
  <si>
    <t>Reinvested</t>
  </si>
  <si>
    <t>EXH AB</t>
  </si>
  <si>
    <t>FULL SHARES FOR FRACTIONS</t>
  </si>
  <si>
    <t>AS OF 07/25/25                 REINVESTED DIVIDENDS @$10.3248</t>
  </si>
  <si>
    <t>INT FR 06/22 THRU07/21@ 6.100%</t>
  </si>
  <si>
    <t>INT FR 06/22 THRU07/21@ 6.100% BAL    1 380   AVBAL    1 144</t>
  </si>
  <si>
    <t>18-Jul-2025/18-Jul-2025</t>
  </si>
  <si>
    <t>AS OF 07/15/25                 DEL FRACTIONAL SHARES OUT RE   SALE OF 40.748 SHARES</t>
  </si>
  <si>
    <t>14-Jul-2025/15-Jul-2025</t>
  </si>
  <si>
    <t>Misc cash</t>
  </si>
  <si>
    <t>BUY CAD @ 1.3564</t>
  </si>
  <si>
    <t>FXC H4</t>
  </si>
  <si>
    <t>BUY CAD @      1.3564</t>
  </si>
  <si>
    <t>AS OF 06/30/25                 MGMT FEE REBATE @ $10.2918</t>
  </si>
  <si>
    <t>AS OF 06/27/25                 REINVESTED DIVIDENDS @$10.2863</t>
  </si>
  <si>
    <t>20-Jun-2025/20-Jun-2025</t>
  </si>
  <si>
    <t>AS OF 05/30/25                 MGMT FEE REBATE @ $10.2246</t>
  </si>
  <si>
    <t>AS OF 05/30/25                 REINVESTED DIVIDENDS @$10.2246</t>
  </si>
  <si>
    <t>B074357</t>
  </si>
  <si>
    <t>1000THS BMO MTG USD HISA SR A(</t>
  </si>
  <si>
    <t>AS OF 05/07/25                 DEL FRACTIONAL SHARES OUT RE   SALE OF 751763.830 SHARES</t>
  </si>
  <si>
    <t>Purchase</t>
  </si>
  <si>
    <t>PUR KP</t>
  </si>
  <si>
    <t>AS OF 05/07/25                 REC FRACTIONAL SHARES IN RE    BUY OF 74244.688 SHARES</t>
  </si>
  <si>
    <t>INT C5</t>
  </si>
  <si>
    <t>AS OF 05/06/25                 REINVESTED @ $1.00</t>
  </si>
  <si>
    <t>B074358</t>
  </si>
  <si>
    <t>BMT126</t>
  </si>
  <si>
    <t>BMO MTG USD HISA CL A (126)</t>
  </si>
  <si>
    <t>06-May-2025/07-May-2025</t>
  </si>
  <si>
    <t>AS OF 04/30/25                 REINVESTED @ $1.00</t>
  </si>
  <si>
    <t>INT @ 0.050% 04/09 THRU 04/21</t>
  </si>
  <si>
    <t>INTEREST ON CREDIT BALANCE     AT  0.050% 04/09 THRU 04/21</t>
  </si>
  <si>
    <t>14-Apr-2025/15-Apr-2025</t>
  </si>
  <si>
    <t>Deposit</t>
  </si>
  <si>
    <t>INBOUND EFT</t>
  </si>
  <si>
    <t>DEP T4</t>
  </si>
  <si>
    <t>Cleanup notes</t>
  </si>
  <si>
    <t>Currency</t>
  </si>
  <si>
    <t>2. Unable to create a PivotTable from this transactions report right away - needed to manually enter column headings in columns L, N, P and S</t>
  </si>
  <si>
    <t>Currency (avg cost)</t>
  </si>
  <si>
    <t>Currency (total amt)</t>
  </si>
  <si>
    <t>Currency (gain/loss)</t>
  </si>
  <si>
    <t>Row Labels</t>
  </si>
  <si>
    <t>Grand Total</t>
  </si>
  <si>
    <t>Sum of TOTAL AMOUNT</t>
  </si>
  <si>
    <t>15Cdn</t>
  </si>
  <si>
    <t>Cash</t>
  </si>
  <si>
    <t>Cost</t>
  </si>
  <si>
    <t>Opening</t>
  </si>
  <si>
    <t>Column Labels</t>
  </si>
  <si>
    <t>Buy</t>
  </si>
  <si>
    <t>Sell</t>
  </si>
  <si>
    <t>Cdn dividends</t>
  </si>
  <si>
    <t>Foreign income</t>
  </si>
  <si>
    <t>Foreign tax paid</t>
  </si>
  <si>
    <t>Transfer to bank</t>
  </si>
  <si>
    <t>Transfer to s/h</t>
  </si>
  <si>
    <t>Transfer Cdn/US</t>
  </si>
  <si>
    <t>End</t>
  </si>
  <si>
    <t>(blank)</t>
  </si>
  <si>
    <t>Trust distribution</t>
  </si>
  <si>
    <t>Capital gain</t>
  </si>
  <si>
    <t>Entry</t>
  </si>
  <si>
    <t>Adjust cash</t>
  </si>
  <si>
    <t>Adjust cost</t>
  </si>
  <si>
    <t>Entry check</t>
  </si>
  <si>
    <t>Return of capital</t>
  </si>
  <si>
    <t>15US - USD</t>
  </si>
  <si>
    <t>15US - CAD</t>
  </si>
  <si>
    <t>Management fees</t>
  </si>
  <si>
    <t>Foreign exchange</t>
  </si>
  <si>
    <t>Cost amount</t>
  </si>
  <si>
    <t>4. Aug 22 transfer - without a cost column, there is no way to reconcile investment cost after this transfer</t>
  </si>
  <si>
    <t>Sum of Cost amount</t>
  </si>
  <si>
    <t>Notes regarding the above table</t>
  </si>
  <si>
    <t>1. Opening balances should come from BMO information, such as an account valuation statement. Note "cost" is historical CAD cost.</t>
  </si>
  <si>
    <t>2. The capital gain needs to come from BMO reports. Note that total decrease in cost from sales needs to include money market funds at historical CAD cost.</t>
  </si>
  <si>
    <t>3. We need to be able to distinguish between interest, Cdn dividends, foreign income and trust distributions.</t>
  </si>
  <si>
    <t>4. We need to be able to identify foreign tax paid on a per security basis.</t>
  </si>
  <si>
    <t>5. Return of capital adjustments need to be identifiable by security. Normally these would deduct from trust distributions.</t>
  </si>
  <si>
    <t>6. Foreign exchange is adjusted for USD accounts to match the CAD value of cash at year-end. Note that cost is NOT adjusted.</t>
  </si>
  <si>
    <t>7. Ending cash and cost should match BMO information.</t>
  </si>
  <si>
    <t>1. Often, we must account for the Cdn and US accounts separately. Currently relying on the column for "A/C" to determine the different accounts present here.</t>
  </si>
  <si>
    <t>3. Needed to create my own column for stock distributions and calculate the cost addition manually.</t>
  </si>
  <si>
    <t>5. Exchanges / stock distributions and other items often demand further explanation. For example, were there business combinations in the year?</t>
  </si>
  <si>
    <t>6. Management fee rebate - is this included in the T3 as income earned? If not, we need to be able to distinguish it from regulare trust distributions.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</si>
</sst>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37">
    <xf numFmtId="0" fontId="0" fillId="0" borderId="0" xfId="0"/>
    <xf numFmtId="15" fontId="0" fillId="0" borderId="0" xfId="0" applyNumberFormat="1"/>
    <xf numFmtId="0" fontId="0" fillId="33" borderId="0" xfId="0" applyFill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3" fontId="0" fillId="0" borderId="10" xfId="42" applyFont="1" applyBorder="1"/>
    <xf numFmtId="43" fontId="0" fillId="0" borderId="0" xfId="0" applyNumberFormat="1"/>
    <xf numFmtId="0" fontId="18" fillId="33" borderId="0" xfId="0" applyFont="1" applyFill="1"/>
    <xf numFmtId="0" fontId="18" fillId="34" borderId="0" xfId="0" applyFont="1" applyFill="1"/>
    <xf numFmtId="43" fontId="18" fillId="0" borderId="0" xfId="0" applyNumberFormat="1" applyFont="1"/>
    <xf numFmtId="0" fontId="0" fillId="0" borderId="11" xfId="0" applyBorder="1"/>
    <xf numFmtId="0" fontId="0" fillId="0" borderId="10" xfId="0" applyBorder="1"/>
    <xf numFmtId="0" fontId="0" fillId="0" borderId="13" xfId="0" applyBorder="1"/>
    <xf numFmtId="43" fontId="0" fillId="0" borderId="0" xfId="42" applyFont="1" applyBorder="1"/>
    <xf numFmtId="43" fontId="0" fillId="0" borderId="14" xfId="42" applyFont="1" applyBorder="1"/>
    <xf numFmtId="43" fontId="0" fillId="34" borderId="0" xfId="42" applyFont="1" applyFill="1" applyBorder="1"/>
    <xf numFmtId="43" fontId="0" fillId="0" borderId="0" xfId="42" applyFont="1" applyFill="1" applyBorder="1"/>
    <xf numFmtId="43" fontId="0" fillId="0" borderId="14" xfId="42" applyFont="1" applyFill="1" applyBorder="1"/>
    <xf numFmtId="0" fontId="0" fillId="0" borderId="15" xfId="0" applyBorder="1"/>
    <xf numFmtId="0" fontId="0" fillId="0" borderId="16" xfId="0" applyBorder="1"/>
    <xf numFmtId="43" fontId="0" fillId="0" borderId="18" xfId="0" applyNumberFormat="1" applyBorder="1"/>
    <xf numFmtId="43" fontId="0" fillId="0" borderId="13" xfId="42" applyFont="1" applyBorder="1"/>
    <xf numFmtId="43" fontId="0" fillId="0" borderId="11" xfId="42" applyFont="1" applyBorder="1"/>
    <xf numFmtId="43" fontId="0" fillId="0" borderId="13" xfId="42" applyFont="1" applyFill="1" applyBorder="1"/>
    <xf numFmtId="43" fontId="0" fillId="34" borderId="14" xfId="42" applyFont="1" applyFill="1" applyBorder="1"/>
    <xf numFmtId="43" fontId="0" fillId="0" borderId="12" xfId="42" applyFont="1" applyBorder="1"/>
    <xf numFmtId="0" fontId="0" fillId="0" borderId="19" xfId="0" applyBorder="1"/>
    <xf numFmtId="0" fontId="16" fillId="0" borderId="1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14" xfId="0" applyFont="1" applyBorder="1" applyAlignment="1">
      <alignment horizontal="center"/>
    </xf>
    <xf numFmtId="0" fontId="0" fillId="0" borderId="0" xfId="0" applyAlignment="1">
      <alignment horizontal="center"/>
    </xf>
    <xf numFmtId="43" fontId="0" fillId="34" borderId="0" xfId="0" applyNumberFormat="1" applyFill="1"/>
    <xf numFmtId="0" fontId="16" fillId="0" borderId="20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17" xfId="0" applyFont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font>
        <color rgb="FF7030A0"/>
      </font>
    </dxf>
    <dxf>
      <font>
        <color rgb="FF7030A0"/>
      </font>
    </dxf>
    <dxf>
      <numFmt numFmtId="35" formatCode="_(* #,##0.00_);_(* \(#,##0.00\);_(* &quot;-&quot;??_);_(@_)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7030A0"/>
      </font>
    </dxf>
    <dxf>
      <font>
        <color rgb="FF7030A0"/>
      </font>
    </dxf>
    <dxf>
      <numFmt numFmtId="35" formatCode="_(* #,##0.00_);_(* \(#,##0.00\);_(* &quot;-&quot;??_);_(@_)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5" formatCode="_(* #,##0.00_);_(* \(#,##0.00\);_(* &quot;-&quot;??_);_(@_)"/>
    </dxf>
    <dxf>
      <font>
        <color rgb="FF7030A0"/>
      </font>
    </dxf>
    <dxf>
      <font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ymond Mustard" refreshedDate="45979.736810300928" createdVersion="8" refreshedVersion="8" minRefreshableVersion="3" recordCount="48" xr:uid="{3A432C87-C5B2-4940-BBA2-B6F4344C14D2}">
  <cacheSource type="worksheet">
    <worksheetSource ref="A7:V55" sheet="_EXPORT_JCOHEN06__TRANS_HIST_16"/>
  </cacheSource>
  <cacheFields count="22">
    <cacheField name="TRANS/VALUE DATE" numFmtId="0">
      <sharedItems containsDate="1" containsMixedTypes="1" minDate="2025-04-09T00:00:00" maxDate="2025-08-30T00:00:00"/>
    </cacheField>
    <cacheField name="ENTRY DATE" numFmtId="0">
      <sharedItems containsNonDate="0" containsDate="1" containsString="0" containsBlank="1" minDate="2025-04-15T00:00:00" maxDate="2025-09-03T00:00:00"/>
    </cacheField>
    <cacheField name="TRANS TYPE" numFmtId="0">
      <sharedItems count="10">
        <s v="Stock Div"/>
        <s v="Transfer"/>
        <s v="Interest"/>
        <s v="Journal Sale"/>
        <s v="SELL"/>
        <s v="BUY"/>
        <s v="Reinvested"/>
        <s v="Misc cash"/>
        <s v="Purchase"/>
        <s v="Deposit"/>
      </sharedItems>
    </cacheField>
    <cacheField name="A/C" numFmtId="0">
      <sharedItems containsMixedTypes="1" containsNumber="1" containsInteger="1" minValue="15" maxValue="15" count="2">
        <s v="15U"/>
        <n v="15"/>
      </sharedItems>
    </cacheField>
    <cacheField name="ST" numFmtId="0">
      <sharedItems containsNonDate="0" containsString="0" containsBlank="1"/>
    </cacheField>
    <cacheField name="QUANTITY" numFmtId="0">
      <sharedItems containsString="0" containsBlank="1" containsNumber="1" containsInteger="1" minValue="-751763" maxValue="750000"/>
    </cacheField>
    <cacheField name="TRADE NO" numFmtId="0">
      <sharedItems containsString="0" containsBlank="1" containsNumber="1" containsInteger="1" minValue="768" maxValue="7885"/>
    </cacheField>
    <cacheField name="CUSIP" numFmtId="0">
      <sharedItems containsBlank="1" containsMixedTypes="1" containsNumber="1" containsInteger="1" minValue="9334944" maxValue="9334944"/>
    </cacheField>
    <cacheField name="SYMBOL" numFmtId="0">
      <sharedItems containsBlank="1"/>
    </cacheField>
    <cacheField name="SECURITY DESCRIPTION" numFmtId="0">
      <sharedItems/>
    </cacheField>
    <cacheField name="AVG COST" numFmtId="0">
      <sharedItems containsString="0" containsBlank="1" containsNumber="1" minValue="1" maxValue="10.3492"/>
    </cacheField>
    <cacheField name="Currency (avg cost)" numFmtId="0">
      <sharedItems containsBlank="1"/>
    </cacheField>
    <cacheField name="UNIT PRICE" numFmtId="0">
      <sharedItems containsString="0" containsBlank="1" containsNumber="1" minValue="0" maxValue="10.368"/>
    </cacheField>
    <cacheField name="Currency" numFmtId="0">
      <sharedItems containsBlank="1"/>
    </cacheField>
    <cacheField name="TOTAL AMOUNT" numFmtId="0">
      <sharedItems containsSemiMixedTypes="0" containsString="0" containsNumber="1" minValue="-751282" maxValue="751763.83"/>
    </cacheField>
    <cacheField name="Cost amount" numFmtId="0">
      <sharedItems containsString="0" containsBlank="1" containsNumber="1" minValue="0.19" maxValue="2131.9351999999999"/>
    </cacheField>
    <cacheField name="Currency (total amt)" numFmtId="0">
      <sharedItems containsBlank="1"/>
    </cacheField>
    <cacheField name="REMARK" numFmtId="0">
      <sharedItems containsBlank="1"/>
    </cacheField>
    <cacheField name="GAIN/LOSS" numFmtId="0">
      <sharedItems containsString="0" containsBlank="1" containsNumber="1" minValue="0.83" maxValue="55.7"/>
    </cacheField>
    <cacheField name="Currency (gain/loss)" numFmtId="0">
      <sharedItems containsBlank="1"/>
    </cacheField>
    <cacheField name="CXLD" numFmtId="0">
      <sharedItems containsNonDate="0" containsString="0" containsBlank="1"/>
    </cacheField>
    <cacheField name="LONG REMARK" numFmtId="0">
      <sharedItems containsBlank="1" count="23">
        <s v="AS OF 08/29/25                 MGMT FEE REBATE @ $10.3492"/>
        <s v="AS OF 08/29/25                 REINVESTED DIVIDENDS @$10.3492"/>
        <s v="FROM U$ ACCOUNT"/>
        <s v="TO C$ ACCOUNT"/>
        <s v="INT FR 07/22 THRU08/21@ 6.100% BAL    2 794   AVBAL    1 698"/>
        <s v="AS OF 08/21/25                 DEL FRACTIONAL SHARES OUT RE   SALE OF 202.538 SHARES"/>
        <m/>
        <s v="AS OF 07/31/25                 MGMT FEE REBATE @ $10.3365"/>
        <s v="FULL SHARES FOR FRACTIONS"/>
        <s v="AS OF 07/25/25                 REINVESTED DIVIDENDS @$10.3248"/>
        <s v="INT FR 06/22 THRU07/21@ 6.100% BAL    1 380   AVBAL    1 144"/>
        <s v="AS OF 07/15/25                 DEL FRACTIONAL SHARES OUT RE   SALE OF 40.748 SHARES"/>
        <s v="BUY CAD @      1.3564"/>
        <s v="AS OF 06/30/25                 MGMT FEE REBATE @ $10.2918"/>
        <s v="AS OF 06/27/25                 REINVESTED DIVIDENDS @$10.2863"/>
        <s v="AS OF 05/30/25                 MGMT FEE REBATE @ $10.2246"/>
        <s v="AS OF 05/30/25                 REINVESTED DIVIDENDS @$10.2246"/>
        <s v="AS OF 05/07/25                 DEL FRACTIONAL SHARES OUT RE   SALE OF 751763.830 SHARES"/>
        <s v="AS OF 05/07/25                 REC FRACTIONAL SHARES IN RE    BUY OF 74244.688 SHARES"/>
        <s v="AS OF 05/06/25                 REINVESTED @ $1.00"/>
        <s v="AS OF 04/30/25                 REINVESTED @ $1.00"/>
        <s v="INTEREST ON CREDIT BALANCE     AT  0.050% 04/09 THRU 04/21"/>
        <s v="INBOUND EF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d v="2025-08-29T00:00:00"/>
    <d v="2025-09-02T00:00:00"/>
    <x v="0"/>
    <x v="0"/>
    <m/>
    <n v="31"/>
    <m/>
    <s v="D054219"/>
    <m/>
    <s v="1000THS DYNAMIC CR  ABSOLUTE R"/>
    <n v="10.3492"/>
    <m/>
    <m/>
    <m/>
    <n v="0"/>
    <n v="0.32082519999999998"/>
    <s v="U"/>
    <s v="DIV C5"/>
    <m/>
    <m/>
    <m/>
    <x v="0"/>
  </r>
  <r>
    <d v="2025-08-29T00:00:00"/>
    <d v="2025-09-02T00:00:00"/>
    <x v="0"/>
    <x v="0"/>
    <m/>
    <n v="5"/>
    <m/>
    <s v="D054220"/>
    <s v="DYN27730"/>
    <s v="DYNAMIC CR  ABSOLUTE RETURN FD"/>
    <n v="10.3492"/>
    <m/>
    <m/>
    <m/>
    <n v="0"/>
    <n v="51.745999999999995"/>
    <s v="U"/>
    <s v="DIV C5"/>
    <m/>
    <m/>
    <m/>
    <x v="0"/>
  </r>
  <r>
    <d v="2025-08-29T00:00:00"/>
    <d v="2025-09-02T00:00:00"/>
    <x v="0"/>
    <x v="0"/>
    <m/>
    <n v="664"/>
    <m/>
    <s v="D054219"/>
    <m/>
    <s v="1000THS DYNAMIC CR  ABSOLUTE R"/>
    <n v="10.3492"/>
    <m/>
    <m/>
    <m/>
    <n v="0"/>
    <n v="6.8718688000000006"/>
    <s v="U"/>
    <s v="DIV C5"/>
    <m/>
    <m/>
    <m/>
    <x v="1"/>
  </r>
  <r>
    <d v="2025-08-29T00:00:00"/>
    <d v="2025-09-02T00:00:00"/>
    <x v="0"/>
    <x v="0"/>
    <m/>
    <n v="206"/>
    <m/>
    <s v="D054220"/>
    <s v="DYN27730"/>
    <s v="DYNAMIC CR  ABSOLUTE RETURN FD"/>
    <n v="10.3492"/>
    <m/>
    <m/>
    <m/>
    <n v="0"/>
    <n v="2131.9351999999999"/>
    <s v="U"/>
    <s v="DIV C5"/>
    <m/>
    <m/>
    <m/>
    <x v="1"/>
  </r>
  <r>
    <d v="2025-08-22T00:00:00"/>
    <m/>
    <x v="1"/>
    <x v="1"/>
    <m/>
    <n v="202"/>
    <m/>
    <s v="D054220"/>
    <s v="DYN27730"/>
    <s v="DYNAMIC CR  ABSOLUTE RETURN FD"/>
    <m/>
    <m/>
    <m/>
    <m/>
    <n v="0"/>
    <m/>
    <m/>
    <s v="LOA P4"/>
    <m/>
    <m/>
    <m/>
    <x v="2"/>
  </r>
  <r>
    <d v="2025-08-22T00:00:00"/>
    <m/>
    <x v="1"/>
    <x v="0"/>
    <m/>
    <n v="-202"/>
    <m/>
    <s v="D054220"/>
    <s v="DYN27730"/>
    <s v="DYNAMIC CR  ABSOLUTE RETURN FD"/>
    <m/>
    <m/>
    <m/>
    <m/>
    <n v="0"/>
    <m/>
    <s v="U"/>
    <s v="LOA P4"/>
    <m/>
    <m/>
    <m/>
    <x v="3"/>
  </r>
  <r>
    <d v="2025-08-21T00:00:00"/>
    <d v="2025-08-22T00:00:00"/>
    <x v="2"/>
    <x v="1"/>
    <m/>
    <m/>
    <m/>
    <m/>
    <m/>
    <s v="INT FR 07/22 THRU08/21@ 6.100%"/>
    <m/>
    <m/>
    <m/>
    <m/>
    <n v="-8.8000000000000007"/>
    <m/>
    <m/>
    <s v="INT"/>
    <m/>
    <m/>
    <m/>
    <x v="4"/>
  </r>
  <r>
    <d v="2025-08-21T00:00:00"/>
    <m/>
    <x v="3"/>
    <x v="1"/>
    <m/>
    <n v="-538"/>
    <m/>
    <s v="D054219"/>
    <m/>
    <s v="1000THS DYNAMIC CR  ABSOLUTE R"/>
    <m/>
    <m/>
    <m/>
    <m/>
    <n v="0"/>
    <m/>
    <m/>
    <s v="SEL KP"/>
    <m/>
    <m/>
    <m/>
    <x v="5"/>
  </r>
  <r>
    <s v="20-Aug-2025/21-Aug-2025"/>
    <d v="2025-08-21T00:00:00"/>
    <x v="4"/>
    <x v="1"/>
    <m/>
    <n v="-202"/>
    <n v="2902"/>
    <s v="D054220"/>
    <s v="DYN27730"/>
    <s v="DYNAMIC CR  ABSOLUTE RETURN FD"/>
    <n v="10.1203"/>
    <s v="U"/>
    <n v="10.368"/>
    <s v="U"/>
    <n v="2884.14"/>
    <m/>
    <m/>
    <m/>
    <n v="55.7"/>
    <s v="U"/>
    <m/>
    <x v="6"/>
  </r>
  <r>
    <s v="15-Aug-2025/15-Aug-2025"/>
    <d v="2025-08-15T00:00:00"/>
    <x v="5"/>
    <x v="1"/>
    <m/>
    <n v="0"/>
    <n v="2134"/>
    <n v="9334944"/>
    <m/>
    <s v="MERIDIAN PROGRAM(HST INCL REG"/>
    <m/>
    <m/>
    <n v="0"/>
    <m/>
    <n v="-1380.27"/>
    <m/>
    <m/>
    <m/>
    <m/>
    <m/>
    <m/>
    <x v="6"/>
  </r>
  <r>
    <d v="2025-07-31T00:00:00"/>
    <d v="2025-08-01T00:00:00"/>
    <x v="0"/>
    <x v="0"/>
    <m/>
    <n v="355"/>
    <m/>
    <s v="D054219"/>
    <m/>
    <s v="1000THS DYNAMIC CR  ABSOLUTE R"/>
    <n v="10.336499999999999"/>
    <m/>
    <m/>
    <m/>
    <n v="0"/>
    <n v="3.6694574999999996"/>
    <s v="U"/>
    <s v="DIV C5"/>
    <m/>
    <m/>
    <m/>
    <x v="7"/>
  </r>
  <r>
    <d v="2025-07-31T00:00:00"/>
    <d v="2025-08-01T00:00:00"/>
    <x v="0"/>
    <x v="0"/>
    <m/>
    <n v="5"/>
    <m/>
    <s v="D054220"/>
    <s v="DYN27730"/>
    <s v="DYNAMIC CR  ABSOLUTE RETURN FD"/>
    <n v="10.336499999999999"/>
    <m/>
    <m/>
    <m/>
    <n v="0"/>
    <n v="51.682499999999997"/>
    <s v="U"/>
    <s v="DIV C5"/>
    <m/>
    <m/>
    <m/>
    <x v="7"/>
  </r>
  <r>
    <d v="2025-07-29T00:00:00"/>
    <m/>
    <x v="6"/>
    <x v="0"/>
    <m/>
    <n v="-1000"/>
    <m/>
    <s v="D054219"/>
    <m/>
    <s v="1000THS DYNAMIC CR  ABSOLUTE R"/>
    <m/>
    <m/>
    <m/>
    <m/>
    <n v="0"/>
    <m/>
    <s v="U"/>
    <s v="EXH AB"/>
    <m/>
    <m/>
    <m/>
    <x v="8"/>
  </r>
  <r>
    <d v="2025-07-29T00:00:00"/>
    <m/>
    <x v="6"/>
    <x v="0"/>
    <m/>
    <n v="1"/>
    <m/>
    <s v="D054220"/>
    <s v="DYN27730"/>
    <s v="DYNAMIC CR  ABSOLUTE RETURN FD"/>
    <m/>
    <m/>
    <m/>
    <m/>
    <n v="0"/>
    <m/>
    <s v="U"/>
    <s v="EXH AB"/>
    <m/>
    <m/>
    <m/>
    <x v="8"/>
  </r>
  <r>
    <d v="2025-07-25T00:00:00"/>
    <d v="2025-07-28T00:00:00"/>
    <x v="0"/>
    <x v="0"/>
    <m/>
    <n v="326"/>
    <m/>
    <s v="D054219"/>
    <m/>
    <s v="1000THS DYNAMIC CR  ABSOLUTE R"/>
    <n v="10.3248"/>
    <m/>
    <m/>
    <m/>
    <n v="0"/>
    <n v="3.3658847999999999"/>
    <s v="U"/>
    <s v="DIV C5"/>
    <m/>
    <m/>
    <m/>
    <x v="9"/>
  </r>
  <r>
    <d v="2025-07-25T00:00:00"/>
    <d v="2025-07-28T00:00:00"/>
    <x v="0"/>
    <x v="0"/>
    <m/>
    <n v="197"/>
    <m/>
    <s v="D054220"/>
    <s v="DYN27730"/>
    <s v="DYNAMIC CR  ABSOLUTE RETURN FD"/>
    <n v="10.3248"/>
    <m/>
    <m/>
    <m/>
    <n v="0"/>
    <n v="2033.9856"/>
    <s v="U"/>
    <s v="DIV C5"/>
    <m/>
    <m/>
    <m/>
    <x v="9"/>
  </r>
  <r>
    <d v="2025-07-21T00:00:00"/>
    <d v="2025-07-22T00:00:00"/>
    <x v="2"/>
    <x v="1"/>
    <m/>
    <m/>
    <m/>
    <m/>
    <m/>
    <s v="INT FR 06/22 THRU07/21@ 6.100%"/>
    <m/>
    <m/>
    <m/>
    <m/>
    <n v="-5.74"/>
    <m/>
    <m/>
    <s v="INT"/>
    <m/>
    <m/>
    <m/>
    <x v="10"/>
  </r>
  <r>
    <s v="18-Jul-2025/18-Jul-2025"/>
    <d v="2025-07-18T00:00:00"/>
    <x v="5"/>
    <x v="1"/>
    <m/>
    <n v="0"/>
    <n v="2045"/>
    <n v="9334944"/>
    <m/>
    <s v="MERIDIAN PROGRAM(HST INCL REG"/>
    <m/>
    <m/>
    <n v="0"/>
    <m/>
    <n v="-1313.19"/>
    <m/>
    <m/>
    <m/>
    <m/>
    <m/>
    <m/>
    <x v="6"/>
  </r>
  <r>
    <d v="2025-07-16T00:00:00"/>
    <m/>
    <x v="6"/>
    <x v="0"/>
    <m/>
    <n v="1000"/>
    <m/>
    <s v="D054219"/>
    <m/>
    <s v="1000THS DYNAMIC CR  ABSOLUTE R"/>
    <m/>
    <m/>
    <m/>
    <m/>
    <n v="0"/>
    <m/>
    <s v="U"/>
    <s v="EXH AB"/>
    <m/>
    <m/>
    <m/>
    <x v="8"/>
  </r>
  <r>
    <d v="2025-07-16T00:00:00"/>
    <m/>
    <x v="6"/>
    <x v="0"/>
    <m/>
    <n v="-1"/>
    <m/>
    <s v="D054220"/>
    <s v="DYN27730"/>
    <s v="DYNAMIC CR  ABSOLUTE RETURN FD"/>
    <m/>
    <m/>
    <m/>
    <m/>
    <n v="0"/>
    <m/>
    <s v="U"/>
    <s v="EXH AB"/>
    <m/>
    <m/>
    <m/>
    <x v="8"/>
  </r>
  <r>
    <d v="2025-07-15T00:00:00"/>
    <m/>
    <x v="3"/>
    <x v="0"/>
    <m/>
    <n v="-748"/>
    <m/>
    <s v="D054219"/>
    <m/>
    <s v="1000THS DYNAMIC CR  ABSOLUTE R"/>
    <m/>
    <m/>
    <m/>
    <m/>
    <n v="0"/>
    <m/>
    <s v="U"/>
    <s v="SEL KP"/>
    <m/>
    <m/>
    <m/>
    <x v="11"/>
  </r>
  <r>
    <s v="14-Jul-2025/15-Jul-2025"/>
    <d v="2025-07-15T00:00:00"/>
    <x v="4"/>
    <x v="0"/>
    <m/>
    <n v="-40"/>
    <n v="7885"/>
    <s v="D054220"/>
    <s v="DYN27730"/>
    <s v="DYNAMIC CR  ABSOLUTE RETURN FD"/>
    <n v="10.1197"/>
    <s v="U"/>
    <n v="10.307"/>
    <s v="U"/>
    <n v="420"/>
    <m/>
    <s v="U"/>
    <m/>
    <n v="15.21"/>
    <s v="U"/>
    <m/>
    <x v="6"/>
  </r>
  <r>
    <d v="2025-07-14T00:00:00"/>
    <m/>
    <x v="7"/>
    <x v="0"/>
    <m/>
    <m/>
    <m/>
    <m/>
    <m/>
    <s v="BUY CAD @ 1.3564"/>
    <m/>
    <m/>
    <m/>
    <m/>
    <n v="-906.81"/>
    <m/>
    <s v="U"/>
    <s v="FXC H4"/>
    <m/>
    <m/>
    <m/>
    <x v="12"/>
  </r>
  <r>
    <d v="2025-07-14T00:00:00"/>
    <m/>
    <x v="7"/>
    <x v="1"/>
    <m/>
    <m/>
    <m/>
    <m/>
    <m/>
    <s v="BUY CAD @ 1.3564"/>
    <m/>
    <m/>
    <m/>
    <m/>
    <n v="1230"/>
    <m/>
    <m/>
    <s v="FXC H4"/>
    <m/>
    <m/>
    <m/>
    <x v="12"/>
  </r>
  <r>
    <d v="2025-07-02T00:00:00"/>
    <m/>
    <x v="6"/>
    <x v="0"/>
    <m/>
    <n v="-1000"/>
    <m/>
    <s v="D054219"/>
    <m/>
    <s v="1000THS DYNAMIC CR  ABSOLUTE R"/>
    <m/>
    <m/>
    <m/>
    <m/>
    <n v="0"/>
    <m/>
    <s v="U"/>
    <s v="EXH AB"/>
    <m/>
    <m/>
    <m/>
    <x v="8"/>
  </r>
  <r>
    <d v="2025-07-02T00:00:00"/>
    <m/>
    <x v="6"/>
    <x v="0"/>
    <m/>
    <n v="1"/>
    <m/>
    <s v="D054220"/>
    <s v="DYN27730"/>
    <s v="DYNAMIC CR  ABSOLUTE RETURN FD"/>
    <m/>
    <m/>
    <m/>
    <m/>
    <n v="0"/>
    <m/>
    <s v="U"/>
    <s v="EXH AB"/>
    <m/>
    <m/>
    <m/>
    <x v="8"/>
  </r>
  <r>
    <d v="2025-06-30T00:00:00"/>
    <d v="2025-07-02T00:00:00"/>
    <x v="0"/>
    <x v="0"/>
    <m/>
    <n v="339"/>
    <m/>
    <s v="D054219"/>
    <m/>
    <s v="1000THS DYNAMIC CR  ABSOLUTE R"/>
    <n v="10.3492"/>
    <m/>
    <m/>
    <m/>
    <n v="0"/>
    <n v="3.5083788"/>
    <s v="U"/>
    <s v="DIV C5"/>
    <m/>
    <m/>
    <m/>
    <x v="13"/>
  </r>
  <r>
    <d v="2025-06-30T00:00:00"/>
    <d v="2025-07-02T00:00:00"/>
    <x v="0"/>
    <x v="0"/>
    <m/>
    <n v="5"/>
    <m/>
    <s v="D054220"/>
    <s v="DYN27730"/>
    <s v="DYNAMIC CR  ABSOLUTE RETURN FD"/>
    <n v="10.3492"/>
    <m/>
    <m/>
    <m/>
    <n v="0"/>
    <n v="51.745999999999995"/>
    <s v="U"/>
    <s v="DIV C5"/>
    <m/>
    <m/>
    <m/>
    <x v="13"/>
  </r>
  <r>
    <d v="2025-06-27T00:00:00"/>
    <d v="2025-06-30T00:00:00"/>
    <x v="0"/>
    <x v="0"/>
    <m/>
    <n v="686"/>
    <m/>
    <s v="D054219"/>
    <m/>
    <s v="1000THS DYNAMIC CR  ABSOLUTE R"/>
    <n v="10.3492"/>
    <m/>
    <m/>
    <m/>
    <n v="0"/>
    <n v="7.0995512000000005"/>
    <s v="U"/>
    <s v="DIV C5"/>
    <m/>
    <m/>
    <m/>
    <x v="14"/>
  </r>
  <r>
    <d v="2025-06-27T00:00:00"/>
    <d v="2025-06-30T00:00:00"/>
    <x v="0"/>
    <x v="0"/>
    <m/>
    <n v="195"/>
    <m/>
    <s v="D054220"/>
    <s v="DYN27730"/>
    <s v="DYNAMIC CR  ABSOLUTE RETURN FD"/>
    <n v="10.3492"/>
    <m/>
    <m/>
    <m/>
    <n v="0"/>
    <n v="2018.0940000000001"/>
    <s v="U"/>
    <s v="DIV C5"/>
    <m/>
    <m/>
    <m/>
    <x v="14"/>
  </r>
  <r>
    <s v="20-Jun-2025/20-Jun-2025"/>
    <d v="2025-06-20T00:00:00"/>
    <x v="5"/>
    <x v="1"/>
    <m/>
    <n v="0"/>
    <n v="768"/>
    <n v="9334944"/>
    <m/>
    <s v="MERIDIAN PROGRAM(HST INCL REG"/>
    <m/>
    <m/>
    <n v="0"/>
    <m/>
    <n v="-1297.06"/>
    <m/>
    <m/>
    <m/>
    <m/>
    <m/>
    <m/>
    <x v="6"/>
  </r>
  <r>
    <d v="2025-06-03T00:00:00"/>
    <m/>
    <x v="6"/>
    <x v="0"/>
    <m/>
    <n v="-1000"/>
    <m/>
    <s v="D054219"/>
    <m/>
    <s v="1000THS DYNAMIC CR  ABSOLUTE R"/>
    <m/>
    <m/>
    <m/>
    <m/>
    <n v="0"/>
    <m/>
    <s v="U"/>
    <s v="EXH AB"/>
    <m/>
    <m/>
    <m/>
    <x v="8"/>
  </r>
  <r>
    <d v="2025-06-03T00:00:00"/>
    <m/>
    <x v="6"/>
    <x v="0"/>
    <m/>
    <n v="1"/>
    <m/>
    <s v="D054220"/>
    <s v="DYN27730"/>
    <s v="DYNAMIC CR  ABSOLUTE RETURN FD"/>
    <m/>
    <m/>
    <m/>
    <m/>
    <n v="0"/>
    <m/>
    <s v="U"/>
    <s v="EXH AB"/>
    <m/>
    <m/>
    <m/>
    <x v="8"/>
  </r>
  <r>
    <d v="2025-05-30T00:00:00"/>
    <d v="2025-06-02T00:00:00"/>
    <x v="0"/>
    <x v="0"/>
    <m/>
    <n v="951"/>
    <m/>
    <s v="D054219"/>
    <m/>
    <s v="1000THS DYNAMIC CR  ABSOLUTE R"/>
    <n v="10.3492"/>
    <m/>
    <m/>
    <m/>
    <n v="0"/>
    <n v="9.8420891999999984"/>
    <s v="U"/>
    <s v="DIV C5"/>
    <m/>
    <m/>
    <m/>
    <x v="15"/>
  </r>
  <r>
    <d v="2025-05-30T00:00:00"/>
    <d v="2025-06-02T00:00:00"/>
    <x v="0"/>
    <x v="0"/>
    <m/>
    <n v="3"/>
    <m/>
    <s v="D054220"/>
    <s v="DYN27730"/>
    <s v="DYNAMIC CR  ABSOLUTE RETURN FD"/>
    <n v="10.3492"/>
    <m/>
    <m/>
    <m/>
    <n v="0"/>
    <n v="31.047599999999999"/>
    <s v="U"/>
    <s v="DIV C5"/>
    <m/>
    <m/>
    <m/>
    <x v="15"/>
  </r>
  <r>
    <d v="2025-05-30T00:00:00"/>
    <d v="2025-06-02T00:00:00"/>
    <x v="0"/>
    <x v="0"/>
    <m/>
    <n v="63"/>
    <m/>
    <s v="D054219"/>
    <m/>
    <s v="1000THS DYNAMIC CR  ABSOLUTE R"/>
    <n v="10.3492"/>
    <m/>
    <m/>
    <m/>
    <n v="0"/>
    <n v="0.65199960000000001"/>
    <s v="U"/>
    <s v="DIV C5"/>
    <m/>
    <m/>
    <m/>
    <x v="16"/>
  </r>
  <r>
    <d v="2025-05-30T00:00:00"/>
    <d v="2025-06-02T00:00:00"/>
    <x v="0"/>
    <x v="0"/>
    <m/>
    <n v="192"/>
    <m/>
    <s v="D054220"/>
    <s v="DYN27730"/>
    <s v="DYNAMIC CR  ABSOLUTE RETURN FD"/>
    <n v="10.3492"/>
    <m/>
    <m/>
    <m/>
    <n v="0"/>
    <n v="1987.0463999999999"/>
    <s v="U"/>
    <s v="DIV C5"/>
    <m/>
    <m/>
    <m/>
    <x v="16"/>
  </r>
  <r>
    <d v="2025-05-07T00:00:00"/>
    <m/>
    <x v="3"/>
    <x v="0"/>
    <m/>
    <n v="-830"/>
    <m/>
    <s v="B074357"/>
    <m/>
    <s v="1000THS BMO MTG USD HISA SR A("/>
    <m/>
    <m/>
    <m/>
    <m/>
    <n v="0"/>
    <m/>
    <s v="U"/>
    <s v="SEL KP"/>
    <m/>
    <m/>
    <m/>
    <x v="17"/>
  </r>
  <r>
    <d v="2025-05-07T00:00:00"/>
    <m/>
    <x v="8"/>
    <x v="0"/>
    <m/>
    <n v="688"/>
    <m/>
    <s v="D054219"/>
    <m/>
    <s v="1000THS DYNAMIC CR  ABSOLUTE R"/>
    <m/>
    <m/>
    <m/>
    <m/>
    <n v="0"/>
    <m/>
    <s v="U"/>
    <s v="PUR KP"/>
    <m/>
    <m/>
    <m/>
    <x v="18"/>
  </r>
  <r>
    <d v="2025-05-06T00:00:00"/>
    <d v="2025-05-07T00:00:00"/>
    <x v="2"/>
    <x v="0"/>
    <m/>
    <n v="640"/>
    <m/>
    <s v="B074357"/>
    <m/>
    <s v="1000THS BMO MTG USD HISA SR A("/>
    <n v="1"/>
    <m/>
    <m/>
    <m/>
    <n v="0"/>
    <n v="0.64"/>
    <s v="U"/>
    <s v="INT C5"/>
    <m/>
    <m/>
    <m/>
    <x v="19"/>
  </r>
  <r>
    <d v="2025-05-06T00:00:00"/>
    <d v="2025-05-07T00:00:00"/>
    <x v="2"/>
    <x v="0"/>
    <m/>
    <n v="481"/>
    <m/>
    <s v="B074358"/>
    <s v="BMT126"/>
    <s v="BMO MTG USD HISA CL A (126)"/>
    <n v="1"/>
    <m/>
    <m/>
    <m/>
    <n v="0"/>
    <n v="481"/>
    <s v="U"/>
    <s v="INT C5"/>
    <m/>
    <m/>
    <m/>
    <x v="19"/>
  </r>
  <r>
    <s v="06-May-2025/07-May-2025"/>
    <d v="2025-05-07T00:00:00"/>
    <x v="4"/>
    <x v="0"/>
    <m/>
    <n v="-751763"/>
    <n v="7671"/>
    <s v="B074358"/>
    <s v="BMT126"/>
    <s v="BMO MTG USD HISA CL A (126)"/>
    <n v="1"/>
    <s v="U"/>
    <n v="1"/>
    <s v="U"/>
    <n v="751763.83"/>
    <m/>
    <s v="U"/>
    <m/>
    <n v="0.83"/>
    <s v="U"/>
    <m/>
    <x v="6"/>
  </r>
  <r>
    <s v="06-May-2025/07-May-2025"/>
    <d v="2025-05-07T00:00:00"/>
    <x v="5"/>
    <x v="0"/>
    <m/>
    <n v="74244"/>
    <n v="6319"/>
    <s v="D054220"/>
    <s v="DYN27730"/>
    <s v="DYNAMIC CR  ABSOLUTE RETURN FD"/>
    <m/>
    <m/>
    <n v="10.119"/>
    <s v="U"/>
    <n v="-751282"/>
    <m/>
    <s v="U"/>
    <m/>
    <m/>
    <m/>
    <m/>
    <x v="6"/>
  </r>
  <r>
    <d v="2025-04-30T00:00:00"/>
    <d v="2025-05-01T00:00:00"/>
    <x v="2"/>
    <x v="0"/>
    <m/>
    <n v="190"/>
    <m/>
    <s v="B074357"/>
    <m/>
    <s v="1000THS BMO MTG USD HISA SR A("/>
    <n v="1"/>
    <m/>
    <m/>
    <m/>
    <n v="0"/>
    <n v="0.19"/>
    <s v="U"/>
    <s v="INT C5"/>
    <m/>
    <m/>
    <m/>
    <x v="20"/>
  </r>
  <r>
    <d v="2025-04-30T00:00:00"/>
    <d v="2025-05-01T00:00:00"/>
    <x v="2"/>
    <x v="0"/>
    <m/>
    <n v="1282"/>
    <m/>
    <s v="B074358"/>
    <s v="BMT126"/>
    <s v="BMO MTG USD HISA CL A (126)"/>
    <n v="1"/>
    <m/>
    <m/>
    <m/>
    <n v="0"/>
    <n v="1282"/>
    <s v="U"/>
    <s v="INT C5"/>
    <m/>
    <m/>
    <m/>
    <x v="20"/>
  </r>
  <r>
    <d v="2025-04-21T00:00:00"/>
    <d v="2025-04-22T00:00:00"/>
    <x v="2"/>
    <x v="0"/>
    <m/>
    <m/>
    <m/>
    <m/>
    <m/>
    <s v="INT @ 0.050% 04/09 THRU 04/21"/>
    <m/>
    <m/>
    <m/>
    <m/>
    <n v="6.16"/>
    <m/>
    <s v="U"/>
    <s v="INT"/>
    <m/>
    <m/>
    <m/>
    <x v="21"/>
  </r>
  <r>
    <s v="14-Apr-2025/15-Apr-2025"/>
    <d v="2025-04-15T00:00:00"/>
    <x v="5"/>
    <x v="0"/>
    <m/>
    <n v="750000"/>
    <n v="1898"/>
    <s v="B074358"/>
    <s v="BMT126"/>
    <s v="BMO MTG USD HISA CL A (126)"/>
    <m/>
    <m/>
    <n v="1"/>
    <s v="U"/>
    <n v="-750000"/>
    <m/>
    <s v="U"/>
    <m/>
    <m/>
    <m/>
    <m/>
    <x v="6"/>
  </r>
  <r>
    <d v="2025-04-09T00:00:00"/>
    <m/>
    <x v="9"/>
    <x v="0"/>
    <m/>
    <m/>
    <m/>
    <m/>
    <m/>
    <s v="INBOUND EFT"/>
    <m/>
    <m/>
    <m/>
    <m/>
    <n v="750000"/>
    <m/>
    <s v="U"/>
    <s v="DEP T4"/>
    <m/>
    <m/>
    <m/>
    <x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0BF7DC-CADF-4525-8E8B-2779FE75715C}" name="PivotTable1" cacheId="2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5:E20" firstHeaderRow="1" firstDataRow="3" firstDataCol="1"/>
  <pivotFields count="22">
    <pivotField showAll="0"/>
    <pivotField showAll="0"/>
    <pivotField axis="axisRow" showAll="0">
      <items count="11">
        <item sd="0" x="5"/>
        <item sd="0" x="9"/>
        <item sd="0" x="2"/>
        <item sd="0" x="3"/>
        <item x="7"/>
        <item sd="0" x="8"/>
        <item sd="0" x="6"/>
        <item x="4"/>
        <item sd="0" x="0"/>
        <item sd="0" x="1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axis="axisRow" showAll="0">
      <items count="24">
        <item x="20"/>
        <item x="19"/>
        <item x="17"/>
        <item x="18"/>
        <item x="15"/>
        <item x="16"/>
        <item x="14"/>
        <item x="13"/>
        <item x="11"/>
        <item x="9"/>
        <item x="7"/>
        <item x="5"/>
        <item x="0"/>
        <item x="1"/>
        <item x="12"/>
        <item x="2"/>
        <item x="8"/>
        <item x="22"/>
        <item x="10"/>
        <item x="4"/>
        <item x="21"/>
        <item x="3"/>
        <item x="6"/>
        <item t="default"/>
      </items>
    </pivotField>
  </pivotFields>
  <rowFields count="2">
    <field x="2"/>
    <field x="21"/>
  </rowFields>
  <rowItems count="13">
    <i>
      <x/>
    </i>
    <i>
      <x v="1"/>
    </i>
    <i>
      <x v="2"/>
    </i>
    <i>
      <x v="3"/>
    </i>
    <i>
      <x v="4"/>
    </i>
    <i r="1">
      <x v="14"/>
    </i>
    <i>
      <x v="5"/>
    </i>
    <i>
      <x v="6"/>
    </i>
    <i>
      <x v="7"/>
    </i>
    <i r="1">
      <x v="22"/>
    </i>
    <i>
      <x v="8"/>
    </i>
    <i>
      <x v="9"/>
    </i>
    <i t="grand">
      <x/>
    </i>
  </rowItems>
  <colFields count="2">
    <field x="3"/>
    <field x="-2"/>
  </colFields>
  <colItems count="4">
    <i>
      <x/>
      <x/>
    </i>
    <i r="1" i="1">
      <x v="1"/>
    </i>
    <i>
      <x v="1"/>
      <x/>
    </i>
    <i r="1" i="1">
      <x v="1"/>
    </i>
  </colItems>
  <dataFields count="2">
    <dataField name="Sum of TOTAL AMOUNT" fld="14" baseField="0" baseItem="0"/>
    <dataField name="Sum of Cost amount" fld="15" baseField="0" baseItem="0"/>
  </dataFields>
  <formats count="5">
    <format dxfId="14">
      <pivotArea collapsedLevelsAreSubtotals="1" fieldPosition="0">
        <references count="3">
          <reference field="4294967294" count="1" selected="0">
            <x v="1"/>
          </reference>
          <reference field="2" count="1">
            <x v="8"/>
          </reference>
          <reference field="3" count="1" selected="0">
            <x v="1"/>
          </reference>
        </references>
      </pivotArea>
    </format>
    <format dxfId="13">
      <pivotArea collapsedLevelsAreSubtotals="1" fieldPosition="0">
        <references count="3">
          <reference field="4294967294" count="1" selected="0">
            <x v="1"/>
          </reference>
          <reference field="2" count="1">
            <x v="2"/>
          </reference>
          <reference field="3" count="1" selected="0">
            <x v="1"/>
          </reference>
        </references>
      </pivotArea>
    </format>
    <format dxfId="12">
      <pivotArea outline="0" collapsedLevelsAreSubtotals="1" fieldPosition="0"/>
    </format>
    <format dxfId="11">
      <pivotArea collapsedLevelsAreSubtotals="1" fieldPosition="0">
        <references count="3">
          <reference field="4294967294" count="1" selected="0">
            <x v="1"/>
          </reference>
          <reference field="2" count="1">
            <x v="9"/>
          </reference>
          <reference field="3" count="1" selected="0">
            <x v="0"/>
          </reference>
        </references>
      </pivotArea>
    </format>
    <format dxfId="10">
      <pivotArea collapsedLevelsAreSubtotals="1" fieldPosition="0">
        <references count="3">
          <reference field="4294967294" count="1" selected="0">
            <x v="1"/>
          </reference>
          <reference field="2" count="1">
            <x v="9"/>
          </reference>
          <reference field="3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96D38-39D5-40B3-B4AF-EC7ED6B181D5}">
  <dimension ref="A1:S38"/>
  <sheetViews>
    <sheetView workbookViewId="0">
      <selection activeCell="P6" sqref="P6"/>
    </sheetView>
  </sheetViews>
  <sheetFormatPr defaultRowHeight="15" x14ac:dyDescent="0.25"/>
  <cols>
    <col min="1" max="1" width="22.7109375" bestFit="1" customWidth="1"/>
    <col min="2" max="2" width="22" bestFit="1" customWidth="1"/>
    <col min="3" max="3" width="19.5703125" bestFit="1" customWidth="1"/>
    <col min="4" max="4" width="22" bestFit="1" customWidth="1"/>
    <col min="5" max="5" width="19.5703125" bestFit="1" customWidth="1"/>
    <col min="7" max="7" width="16.42578125" bestFit="1" customWidth="1"/>
    <col min="8" max="8" width="10.42578125" bestFit="1" customWidth="1"/>
    <col min="9" max="9" width="11.5703125" bestFit="1" customWidth="1"/>
    <col min="10" max="10" width="10.42578125" bestFit="1" customWidth="1"/>
    <col min="12" max="12" width="14" bestFit="1" customWidth="1"/>
    <col min="13" max="13" width="13.28515625" bestFit="1" customWidth="1"/>
    <col min="15" max="15" width="14" bestFit="1" customWidth="1"/>
    <col min="16" max="16" width="13.28515625" bestFit="1" customWidth="1"/>
    <col min="17" max="17" width="14" bestFit="1" customWidth="1"/>
  </cols>
  <sheetData>
    <row r="1" spans="1:19" x14ac:dyDescent="0.25">
      <c r="G1" s="12"/>
      <c r="H1" s="34" t="s">
        <v>96</v>
      </c>
      <c r="I1" s="36"/>
      <c r="J1" s="35"/>
      <c r="K1" s="13"/>
      <c r="L1" s="34" t="s">
        <v>118</v>
      </c>
      <c r="M1" s="35"/>
      <c r="N1" s="13"/>
      <c r="O1" s="34" t="s">
        <v>119</v>
      </c>
      <c r="P1" s="36"/>
      <c r="Q1" s="35"/>
      <c r="S1">
        <v>1.35</v>
      </c>
    </row>
    <row r="2" spans="1:19" x14ac:dyDescent="0.25">
      <c r="G2" s="14"/>
      <c r="H2" s="29" t="s">
        <v>97</v>
      </c>
      <c r="I2" s="30" t="s">
        <v>98</v>
      </c>
      <c r="J2" s="31" t="s">
        <v>113</v>
      </c>
      <c r="K2" s="32"/>
      <c r="L2" s="29" t="s">
        <v>97</v>
      </c>
      <c r="M2" s="31" t="s">
        <v>98</v>
      </c>
      <c r="N2" s="32"/>
      <c r="O2" s="29" t="s">
        <v>97</v>
      </c>
      <c r="P2" s="30" t="s">
        <v>98</v>
      </c>
      <c r="Q2" s="31" t="s">
        <v>113</v>
      </c>
    </row>
    <row r="3" spans="1:19" x14ac:dyDescent="0.25">
      <c r="G3" s="14" t="s">
        <v>99</v>
      </c>
      <c r="H3" s="23">
        <v>1000</v>
      </c>
      <c r="I3" s="15">
        <v>200000</v>
      </c>
      <c r="J3" s="16"/>
      <c r="K3" s="15"/>
      <c r="L3" s="23">
        <v>0</v>
      </c>
      <c r="M3" s="16">
        <v>0</v>
      </c>
      <c r="N3" s="15"/>
      <c r="O3" s="23">
        <v>0</v>
      </c>
      <c r="P3" s="15">
        <v>0</v>
      </c>
      <c r="Q3" s="16"/>
    </row>
    <row r="4" spans="1:19" x14ac:dyDescent="0.25">
      <c r="G4" s="14"/>
      <c r="H4" s="23"/>
      <c r="I4" s="15"/>
      <c r="J4" s="16"/>
      <c r="K4" s="15"/>
      <c r="L4" s="23"/>
      <c r="M4" s="16"/>
      <c r="N4" s="15"/>
      <c r="O4" s="23"/>
      <c r="P4" s="15"/>
      <c r="Q4" s="16"/>
    </row>
    <row r="5" spans="1:19" x14ac:dyDescent="0.25">
      <c r="B5" s="4" t="s">
        <v>100</v>
      </c>
      <c r="G5" s="14" t="s">
        <v>101</v>
      </c>
      <c r="H5" s="23">
        <f>GETPIVOTDATA("TOTAL AMOUNT",$A$5,"TRANS TYPE","BUY","A/C",15)</f>
        <v>-3990.52</v>
      </c>
      <c r="I5" s="15">
        <f>-H5</f>
        <v>3990.52</v>
      </c>
      <c r="J5" s="16">
        <f>-SUM(H5:I5)</f>
        <v>0</v>
      </c>
      <c r="K5" s="15"/>
      <c r="L5" s="23">
        <f>GETPIVOTDATA("TOTAL AMOUNT",$A$5,"TRANS TYPE","BUY","A/C","15U")</f>
        <v>-1501282</v>
      </c>
      <c r="M5" s="16">
        <f>-L5</f>
        <v>1501282</v>
      </c>
      <c r="N5" s="15"/>
      <c r="O5" s="23">
        <f>L5*$S$1</f>
        <v>-2026730.7000000002</v>
      </c>
      <c r="P5" s="15">
        <f>-O5</f>
        <v>2026730.7000000002</v>
      </c>
      <c r="Q5" s="16">
        <f>-SUM(O5:P5)</f>
        <v>0</v>
      </c>
    </row>
    <row r="6" spans="1:19" x14ac:dyDescent="0.25">
      <c r="B6">
        <v>15</v>
      </c>
      <c r="D6" t="s">
        <v>23</v>
      </c>
      <c r="G6" s="14" t="s">
        <v>102</v>
      </c>
      <c r="H6" s="23">
        <f>GETPIVOTDATA("TOTAL AMOUNT",$A$5,"TRANS TYPE","SELL","A/C",15)</f>
        <v>2884.14</v>
      </c>
      <c r="I6" s="18">
        <v>-2000</v>
      </c>
      <c r="J6" s="19"/>
      <c r="K6" s="18"/>
      <c r="L6" s="25">
        <f>GETPIVOTDATA("TOTAL AMOUNT",$A$5,"TRANS TYPE","SELL","A/C","15U")</f>
        <v>752183.83</v>
      </c>
      <c r="M6" s="26"/>
      <c r="N6" s="18"/>
      <c r="O6" s="23">
        <f>L6*$S$1</f>
        <v>1015448.1705</v>
      </c>
      <c r="P6" s="17"/>
      <c r="Q6" s="19"/>
    </row>
    <row r="7" spans="1:19" x14ac:dyDescent="0.25">
      <c r="A7" s="4" t="s">
        <v>93</v>
      </c>
      <c r="B7" t="s">
        <v>95</v>
      </c>
      <c r="C7" t="s">
        <v>124</v>
      </c>
      <c r="D7" t="s">
        <v>95</v>
      </c>
      <c r="E7" t="s">
        <v>124</v>
      </c>
      <c r="G7" s="14" t="s">
        <v>112</v>
      </c>
      <c r="H7" s="23"/>
      <c r="I7" s="18"/>
      <c r="J7" s="19">
        <f>-SUM(H6:I6)</f>
        <v>-884.13999999999987</v>
      </c>
      <c r="K7" s="18"/>
      <c r="L7" s="25"/>
      <c r="M7" s="19"/>
      <c r="N7" s="18"/>
      <c r="O7" s="25"/>
      <c r="P7" s="18"/>
      <c r="Q7" s="19">
        <f>-SUM(O6:P6)</f>
        <v>-1015448.1705</v>
      </c>
    </row>
    <row r="8" spans="1:19" x14ac:dyDescent="0.25">
      <c r="A8" s="5" t="s">
        <v>47</v>
      </c>
      <c r="B8" s="8">
        <v>-3990.52</v>
      </c>
      <c r="C8" s="8"/>
      <c r="D8" s="8">
        <v>-1501282</v>
      </c>
      <c r="E8" s="8"/>
      <c r="G8" s="14"/>
      <c r="H8" s="23"/>
      <c r="I8" s="15"/>
      <c r="J8" s="16"/>
      <c r="K8" s="15"/>
      <c r="L8" s="23"/>
      <c r="M8" s="16"/>
      <c r="N8" s="15"/>
      <c r="O8" s="23"/>
      <c r="P8" s="15"/>
      <c r="Q8" s="16"/>
    </row>
    <row r="9" spans="1:19" x14ac:dyDescent="0.25">
      <c r="A9" s="5" t="s">
        <v>84</v>
      </c>
      <c r="B9" s="8"/>
      <c r="C9" s="8"/>
      <c r="D9" s="8">
        <v>750000</v>
      </c>
      <c r="E9" s="8"/>
      <c r="G9" s="14" t="s">
        <v>37</v>
      </c>
      <c r="H9" s="23">
        <f>GETPIVOTDATA("TOTAL AMOUNT",$A$5,"TRANS TYPE","Interest","A/C",15)</f>
        <v>-14.540000000000001</v>
      </c>
      <c r="I9" s="15"/>
      <c r="J9" s="16">
        <f>-SUM(H9:I9)</f>
        <v>14.540000000000001</v>
      </c>
      <c r="K9" s="15"/>
      <c r="L9" s="23">
        <f>GETPIVOTDATA("TOTAL AMOUNT",$A$5,"TRANS TYPE","Interest","A/C","15U")</f>
        <v>6.16</v>
      </c>
      <c r="M9" s="16">
        <f>GETPIVOTDATA("Sum of Cost amount",$A$5,"TRANS TYPE","Interest","A/C","15U")</f>
        <v>1763.83</v>
      </c>
      <c r="N9" s="15"/>
      <c r="O9" s="23">
        <f>L9*$S$1</f>
        <v>8.3160000000000007</v>
      </c>
      <c r="P9" s="15">
        <f>M9*$S$1</f>
        <v>2381.1705000000002</v>
      </c>
      <c r="Q9" s="16">
        <f>-SUM(O9:P9)</f>
        <v>-2389.4865</v>
      </c>
    </row>
    <row r="10" spans="1:19" x14ac:dyDescent="0.25">
      <c r="A10" s="5" t="s">
        <v>37</v>
      </c>
      <c r="B10" s="8">
        <v>-14.540000000000001</v>
      </c>
      <c r="C10" s="8"/>
      <c r="D10" s="8">
        <v>6.16</v>
      </c>
      <c r="E10" s="11">
        <v>1763.83</v>
      </c>
      <c r="G10" s="14" t="s">
        <v>103</v>
      </c>
      <c r="H10" s="23">
        <v>0</v>
      </c>
      <c r="I10" s="15"/>
      <c r="J10" s="16">
        <f>-SUM(H10:I10)</f>
        <v>0</v>
      </c>
      <c r="K10" s="15"/>
      <c r="L10" s="23"/>
      <c r="M10" s="16"/>
      <c r="N10" s="15"/>
      <c r="O10" s="23"/>
      <c r="P10" s="15"/>
      <c r="Q10" s="16">
        <f>-SUM(O10:P10)</f>
        <v>0</v>
      </c>
    </row>
    <row r="11" spans="1:19" x14ac:dyDescent="0.25">
      <c r="A11" s="5" t="s">
        <v>41</v>
      </c>
      <c r="B11" s="8">
        <v>0</v>
      </c>
      <c r="C11" s="8"/>
      <c r="D11" s="8">
        <v>0</v>
      </c>
      <c r="E11" s="8"/>
      <c r="G11" s="14" t="s">
        <v>111</v>
      </c>
      <c r="H11" s="23">
        <v>0</v>
      </c>
      <c r="I11" s="15"/>
      <c r="J11" s="16">
        <f>-SUM(H11:I11)</f>
        <v>0</v>
      </c>
      <c r="K11" s="15"/>
      <c r="L11" s="23"/>
      <c r="M11" s="16">
        <f>GETPIVOTDATA("Sum of Cost amount",$A$5,"TRANS TYPE","Stock Div","A/C","15U")</f>
        <v>8392.6133551000003</v>
      </c>
      <c r="N11" s="15"/>
      <c r="O11" s="23"/>
      <c r="P11" s="15">
        <f>M11*$S$1</f>
        <v>11330.028029385001</v>
      </c>
      <c r="Q11" s="16">
        <f>-SUM(O11:P11)</f>
        <v>-11330.028029385001</v>
      </c>
    </row>
    <row r="12" spans="1:19" x14ac:dyDescent="0.25">
      <c r="A12" s="5" t="s">
        <v>59</v>
      </c>
      <c r="B12" s="8">
        <v>1230</v>
      </c>
      <c r="C12" s="8"/>
      <c r="D12" s="8">
        <v>-906.81</v>
      </c>
      <c r="E12" s="8"/>
      <c r="G12" s="14" t="s">
        <v>104</v>
      </c>
      <c r="H12" s="23">
        <v>0</v>
      </c>
      <c r="I12" s="15"/>
      <c r="J12" s="16">
        <f>-SUM(H12:I12)</f>
        <v>0</v>
      </c>
      <c r="K12" s="15"/>
      <c r="L12" s="23"/>
      <c r="M12" s="16"/>
      <c r="N12" s="15"/>
      <c r="O12" s="23"/>
      <c r="P12" s="15"/>
      <c r="Q12" s="16">
        <f>-SUM(O12:P12)</f>
        <v>0</v>
      </c>
    </row>
    <row r="13" spans="1:19" x14ac:dyDescent="0.25">
      <c r="A13" s="6" t="s">
        <v>62</v>
      </c>
      <c r="B13" s="8">
        <v>1230</v>
      </c>
      <c r="C13" s="8"/>
      <c r="D13" s="8">
        <v>-906.81</v>
      </c>
      <c r="E13" s="8"/>
      <c r="G13" s="14" t="s">
        <v>105</v>
      </c>
      <c r="H13" s="23">
        <v>0</v>
      </c>
      <c r="I13" s="15"/>
      <c r="J13" s="16">
        <f>-SUM(H13:I13)</f>
        <v>0</v>
      </c>
      <c r="K13" s="15"/>
      <c r="L13" s="23"/>
      <c r="M13" s="16"/>
      <c r="N13" s="15"/>
      <c r="O13" s="23"/>
      <c r="P13" s="15"/>
      <c r="Q13" s="16">
        <f>-SUM(O13:P13)</f>
        <v>0</v>
      </c>
    </row>
    <row r="14" spans="1:19" x14ac:dyDescent="0.25">
      <c r="A14" s="5" t="s">
        <v>71</v>
      </c>
      <c r="B14" s="8"/>
      <c r="C14" s="8"/>
      <c r="D14" s="8">
        <v>0</v>
      </c>
      <c r="E14" s="8"/>
      <c r="G14" s="14"/>
      <c r="H14" s="23"/>
      <c r="I14" s="15"/>
      <c r="J14" s="16"/>
      <c r="K14" s="15"/>
      <c r="L14" s="23"/>
      <c r="M14" s="16"/>
      <c r="N14" s="15"/>
      <c r="O14" s="23"/>
      <c r="P14" s="15"/>
      <c r="Q14" s="16"/>
    </row>
    <row r="15" spans="1:19" x14ac:dyDescent="0.25">
      <c r="A15" s="5" t="s">
        <v>50</v>
      </c>
      <c r="B15" s="8"/>
      <c r="C15" s="8"/>
      <c r="D15" s="8">
        <v>0</v>
      </c>
      <c r="E15" s="8"/>
      <c r="G15" s="14" t="s">
        <v>120</v>
      </c>
      <c r="H15" s="23">
        <v>0</v>
      </c>
      <c r="I15" s="15"/>
      <c r="J15" s="16">
        <f>-SUM(H15:I15)</f>
        <v>0</v>
      </c>
      <c r="K15" s="15"/>
      <c r="L15" s="23"/>
      <c r="M15" s="16"/>
      <c r="N15" s="15"/>
      <c r="O15" s="23"/>
      <c r="P15" s="15"/>
      <c r="Q15" s="16">
        <f>-SUM(O15:P15)</f>
        <v>0</v>
      </c>
    </row>
    <row r="16" spans="1:19" x14ac:dyDescent="0.25">
      <c r="A16" s="5" t="s">
        <v>45</v>
      </c>
      <c r="B16" s="8">
        <v>2884.14</v>
      </c>
      <c r="C16" s="8"/>
      <c r="D16" s="8">
        <v>752183.83</v>
      </c>
      <c r="E16" s="8"/>
      <c r="G16" s="14"/>
      <c r="H16" s="23"/>
      <c r="I16" s="15"/>
      <c r="J16" s="16"/>
      <c r="K16" s="15"/>
      <c r="L16" s="23"/>
      <c r="M16" s="16"/>
      <c r="N16" s="15"/>
      <c r="O16" s="23"/>
      <c r="P16" s="15"/>
      <c r="Q16" s="16"/>
    </row>
    <row r="17" spans="1:17" x14ac:dyDescent="0.25">
      <c r="A17" s="6" t="s">
        <v>110</v>
      </c>
      <c r="B17" s="8">
        <v>2884.14</v>
      </c>
      <c r="C17" s="8"/>
      <c r="D17" s="8">
        <v>752183.83</v>
      </c>
      <c r="E17" s="8"/>
      <c r="G17" s="14" t="s">
        <v>106</v>
      </c>
      <c r="H17" s="23">
        <v>0</v>
      </c>
      <c r="I17" s="15"/>
      <c r="J17" s="16">
        <f>-SUM(H17:I17)</f>
        <v>0</v>
      </c>
      <c r="K17" s="15"/>
      <c r="L17" s="23">
        <f>GETPIVOTDATA("TOTAL AMOUNT",$A$5,"TRANS TYPE","Deposit","A/C","15U")</f>
        <v>750000</v>
      </c>
      <c r="M17" s="16"/>
      <c r="N17" s="15"/>
      <c r="O17" s="23">
        <f>L17*$S$1</f>
        <v>1012500.0000000001</v>
      </c>
      <c r="P17" s="15"/>
      <c r="Q17" s="16">
        <f>-SUM(O17:P17)</f>
        <v>-1012500.0000000001</v>
      </c>
    </row>
    <row r="18" spans="1:17" x14ac:dyDescent="0.25">
      <c r="A18" s="5" t="s">
        <v>22</v>
      </c>
      <c r="B18" s="8"/>
      <c r="C18" s="8"/>
      <c r="D18" s="8">
        <v>0</v>
      </c>
      <c r="E18" s="11">
        <v>8392.6133551000003</v>
      </c>
      <c r="G18" s="14" t="s">
        <v>107</v>
      </c>
      <c r="H18" s="23">
        <v>0</v>
      </c>
      <c r="I18" s="15"/>
      <c r="J18" s="16">
        <f>-SUM(H18:I18)</f>
        <v>0</v>
      </c>
      <c r="K18" s="15"/>
      <c r="L18" s="23"/>
      <c r="M18" s="16"/>
      <c r="N18" s="15"/>
      <c r="O18" s="23"/>
      <c r="P18" s="15"/>
      <c r="Q18" s="16">
        <f>-SUM(O18:P18)</f>
        <v>0</v>
      </c>
    </row>
    <row r="19" spans="1:17" x14ac:dyDescent="0.25">
      <c r="A19" s="5" t="s">
        <v>33</v>
      </c>
      <c r="B19" s="8">
        <v>0</v>
      </c>
      <c r="C19" s="33"/>
      <c r="D19" s="8">
        <v>0</v>
      </c>
      <c r="E19" s="33"/>
      <c r="G19" s="14" t="s">
        <v>108</v>
      </c>
      <c r="H19" s="23">
        <f>GETPIVOTDATA("TOTAL AMOUNT",$A$5,"TRANS TYPE","Misc cash","A/C",15,"LONG REMARK","BUY CAD @      1.3564")</f>
        <v>1230</v>
      </c>
      <c r="I19" s="15"/>
      <c r="J19" s="16">
        <f>-SUM(H19:I19)</f>
        <v>-1230</v>
      </c>
      <c r="K19" s="15"/>
      <c r="L19" s="23">
        <f>GETPIVOTDATA("TOTAL AMOUNT",$A$5,"TRANS TYPE","Misc cash","A/C","15U","LONG REMARK","BUY CAD @      1.3564")</f>
        <v>-906.81</v>
      </c>
      <c r="M19" s="16"/>
      <c r="N19" s="15"/>
      <c r="O19" s="23">
        <f>-H19</f>
        <v>-1230</v>
      </c>
      <c r="P19" s="15"/>
      <c r="Q19" s="16">
        <f>-SUM(O19:P19)</f>
        <v>1230</v>
      </c>
    </row>
    <row r="20" spans="1:17" x14ac:dyDescent="0.25">
      <c r="A20" s="5" t="s">
        <v>94</v>
      </c>
      <c r="B20" s="8">
        <v>109.07999999999993</v>
      </c>
      <c r="C20" s="8"/>
      <c r="D20" s="8">
        <v>1.1799999999348074</v>
      </c>
      <c r="E20" s="8">
        <v>10156.4433551</v>
      </c>
      <c r="G20" s="14"/>
      <c r="H20" s="23"/>
      <c r="I20" s="15"/>
      <c r="J20" s="16"/>
      <c r="K20" s="15"/>
      <c r="L20" s="23"/>
      <c r="M20" s="16"/>
      <c r="N20" s="15"/>
      <c r="O20" s="23"/>
      <c r="P20" s="15"/>
      <c r="Q20" s="16"/>
    </row>
    <row r="21" spans="1:17" x14ac:dyDescent="0.25">
      <c r="G21" s="14" t="s">
        <v>117</v>
      </c>
      <c r="H21" s="23">
        <v>0</v>
      </c>
      <c r="I21" s="15"/>
      <c r="J21" s="16">
        <f>-SUM(H21:I21)</f>
        <v>0</v>
      </c>
      <c r="K21" s="15"/>
      <c r="L21" s="23"/>
      <c r="M21" s="16"/>
      <c r="N21" s="15"/>
      <c r="O21" s="23"/>
      <c r="P21" s="15"/>
      <c r="Q21" s="16">
        <f>-SUM(O21:P21)</f>
        <v>0</v>
      </c>
    </row>
    <row r="22" spans="1:17" x14ac:dyDescent="0.25">
      <c r="G22" s="14" t="s">
        <v>121</v>
      </c>
      <c r="H22" s="23">
        <v>0</v>
      </c>
      <c r="I22" s="15"/>
      <c r="J22" s="16">
        <f>-SUM(H22:I22)</f>
        <v>0</v>
      </c>
      <c r="K22" s="15"/>
      <c r="L22" s="23"/>
      <c r="M22" s="16"/>
      <c r="N22" s="15"/>
      <c r="O22" s="23"/>
      <c r="P22" s="15"/>
      <c r="Q22" s="16">
        <f>-SUM(O22:P22)</f>
        <v>0</v>
      </c>
    </row>
    <row r="23" spans="1:17" x14ac:dyDescent="0.25">
      <c r="G23" s="14"/>
      <c r="H23" s="23"/>
      <c r="I23" s="15"/>
      <c r="J23" s="16"/>
      <c r="K23" s="15"/>
      <c r="L23" s="23"/>
      <c r="M23" s="16"/>
      <c r="N23" s="15"/>
      <c r="O23" s="23"/>
      <c r="P23" s="15"/>
      <c r="Q23" s="16"/>
    </row>
    <row r="24" spans="1:17" x14ac:dyDescent="0.25">
      <c r="G24" s="14" t="s">
        <v>109</v>
      </c>
      <c r="H24" s="24">
        <f>SUM(H3:H23)</f>
        <v>1109.08</v>
      </c>
      <c r="I24" s="7">
        <f>SUM(I3:I23)</f>
        <v>201990.52</v>
      </c>
      <c r="J24" s="16"/>
      <c r="K24" s="15"/>
      <c r="L24" s="24">
        <f>SUM(L3:L23)</f>
        <v>1.1799999999907413</v>
      </c>
      <c r="M24" s="27">
        <f>SUM(M3:M23)</f>
        <v>1511438.4433551</v>
      </c>
      <c r="N24" s="15"/>
      <c r="O24" s="24">
        <f>SUM(O3:O23)</f>
        <v>-4.2135000000707805</v>
      </c>
      <c r="P24" s="7">
        <f>SUM(P3:P23)</f>
        <v>2040441.8985293852</v>
      </c>
      <c r="Q24" s="16"/>
    </row>
    <row r="25" spans="1:17" x14ac:dyDescent="0.25">
      <c r="G25" s="14"/>
      <c r="H25" s="23"/>
      <c r="I25" s="15"/>
      <c r="J25" s="16"/>
      <c r="K25" s="15"/>
      <c r="L25" s="23"/>
      <c r="M25" s="16"/>
      <c r="N25" s="15"/>
      <c r="O25" s="23"/>
      <c r="P25" s="15"/>
      <c r="Q25" s="16"/>
    </row>
    <row r="26" spans="1:17" x14ac:dyDescent="0.25">
      <c r="G26" s="14" t="s">
        <v>114</v>
      </c>
      <c r="H26" s="23"/>
      <c r="I26" s="15"/>
      <c r="J26" s="16">
        <f>H24-H3</f>
        <v>109.07999999999993</v>
      </c>
      <c r="K26" s="15"/>
      <c r="L26" s="23"/>
      <c r="M26" s="16"/>
      <c r="N26" s="15"/>
      <c r="O26" s="23"/>
      <c r="P26" s="15"/>
      <c r="Q26" s="16">
        <f>O24-O3</f>
        <v>-4.2135000000707805</v>
      </c>
    </row>
    <row r="27" spans="1:17" x14ac:dyDescent="0.25">
      <c r="G27" s="14" t="s">
        <v>115</v>
      </c>
      <c r="H27" s="23"/>
      <c r="I27" s="15"/>
      <c r="J27" s="16">
        <f>I24-I3</f>
        <v>1990.5199999999895</v>
      </c>
      <c r="K27" s="15"/>
      <c r="L27" s="23"/>
      <c r="M27" s="16"/>
      <c r="N27" s="15"/>
      <c r="O27" s="23"/>
      <c r="P27" s="15"/>
      <c r="Q27" s="16">
        <f>P24-P3</f>
        <v>2040441.8985293852</v>
      </c>
    </row>
    <row r="28" spans="1:17" x14ac:dyDescent="0.25">
      <c r="G28" s="14"/>
      <c r="H28" s="23"/>
      <c r="I28" s="15"/>
      <c r="J28" s="16"/>
      <c r="K28" s="15"/>
      <c r="L28" s="23"/>
      <c r="M28" s="16"/>
      <c r="N28" s="15"/>
      <c r="O28" s="23"/>
      <c r="P28" s="15"/>
      <c r="Q28" s="16"/>
    </row>
    <row r="29" spans="1:17" x14ac:dyDescent="0.25">
      <c r="G29" s="20" t="s">
        <v>116</v>
      </c>
      <c r="H29" s="20"/>
      <c r="I29" s="21"/>
      <c r="J29" s="22">
        <f>SUM(J5:J27)</f>
        <v>-1.0459189070388675E-11</v>
      </c>
      <c r="K29" s="21"/>
      <c r="L29" s="20"/>
      <c r="M29" s="28"/>
      <c r="N29" s="21"/>
      <c r="O29" s="20"/>
      <c r="P29" s="21"/>
      <c r="Q29" s="22">
        <f>SUM(Q5:Q27)</f>
        <v>0</v>
      </c>
    </row>
    <row r="31" spans="1:17" x14ac:dyDescent="0.25">
      <c r="G31" t="s">
        <v>125</v>
      </c>
    </row>
    <row r="32" spans="1:17" x14ac:dyDescent="0.25">
      <c r="G32" t="s">
        <v>126</v>
      </c>
    </row>
    <row r="33" spans="7:7" x14ac:dyDescent="0.25">
      <c r="G33" t="s">
        <v>127</v>
      </c>
    </row>
    <row r="34" spans="7:7" x14ac:dyDescent="0.25">
      <c r="G34" t="s">
        <v>128</v>
      </c>
    </row>
    <row r="35" spans="7:7" x14ac:dyDescent="0.25">
      <c r="G35" t="s">
        <v>129</v>
      </c>
    </row>
    <row r="36" spans="7:7" x14ac:dyDescent="0.25">
      <c r="G36" t="s">
        <v>130</v>
      </c>
    </row>
    <row r="37" spans="7:7" x14ac:dyDescent="0.25">
      <c r="G37" t="s">
        <v>131</v>
      </c>
    </row>
    <row r="38" spans="7:7" x14ac:dyDescent="0.25">
      <c r="G38" t="s">
        <v>132</v>
      </c>
    </row>
  </sheetData>
  <mergeCells count="3">
    <mergeCell ref="L1:M1"/>
    <mergeCell ref="O1:Q1"/>
    <mergeCell ref="H1:J1"/>
  </mergeCells>
  <pageMargins left="0.7" right="0.7" top="0.75" bottom="0.75" header="0.3" footer="0.3"/>
  <pageSetup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CF3D4-1F0A-495B-835F-25268537E95F}">
  <dimension ref="A1:X234"/>
  <sheetViews>
    <sheetView tabSelected="1" workbookViewId="0">
      <selection activeCell="P10" sqref="P10:P15"/>
    </sheetView>
  </sheetViews>
  <sheetFormatPr defaultRowHeight="15" x14ac:dyDescent="0.25"/>
  <cols>
    <col min="1" max="1" width="25.5703125" customWidth="1"/>
    <col min="2" max="2" width="10.7109375" bestFit="1" customWidth="1"/>
    <col min="3" max="3" width="12.85546875" bestFit="1" customWidth="1"/>
    <col min="4" max="4" width="6.140625" bestFit="1" customWidth="1"/>
    <col min="5" max="5" width="5" bestFit="1" customWidth="1"/>
    <col min="6" max="7" width="11.42578125" bestFit="1" customWidth="1"/>
    <col min="8" max="8" width="8.140625" bestFit="1" customWidth="1"/>
    <col min="9" max="9" width="9.85546875" bestFit="1" customWidth="1"/>
    <col min="10" max="10" width="30.85546875" bestFit="1" customWidth="1"/>
    <col min="11" max="11" width="11.42578125" bestFit="1" customWidth="1"/>
    <col min="12" max="12" width="2.140625" bestFit="1" customWidth="1"/>
    <col min="13" max="13" width="12.28515625" bestFit="1" customWidth="1"/>
    <col min="14" max="14" width="2.140625" bestFit="1" customWidth="1"/>
    <col min="15" max="15" width="16.140625" bestFit="1" customWidth="1"/>
    <col min="16" max="16" width="16.140625" style="3" customWidth="1"/>
    <col min="17" max="17" width="2.140625" bestFit="1" customWidth="1"/>
    <col min="19" max="19" width="12.140625" bestFit="1" customWidth="1"/>
    <col min="20" max="20" width="2.140625" bestFit="1" customWidth="1"/>
    <col min="22" max="22" width="72.5703125" bestFit="1" customWidth="1"/>
    <col min="23" max="23" width="14.140625" bestFit="1" customWidth="1"/>
    <col min="24" max="24" width="11" bestFit="1" customWidth="1"/>
  </cols>
  <sheetData>
    <row r="1" spans="1:24" x14ac:dyDescent="0.25">
      <c r="A1" t="s">
        <v>0</v>
      </c>
    </row>
    <row r="3" spans="1:24" x14ac:dyDescent="0.25">
      <c r="A3" t="s">
        <v>1</v>
      </c>
    </row>
    <row r="4" spans="1:24" x14ac:dyDescent="0.25">
      <c r="A4" t="s">
        <v>2</v>
      </c>
    </row>
    <row r="6" spans="1:24" x14ac:dyDescent="0.25">
      <c r="A6" t="s">
        <v>3</v>
      </c>
    </row>
    <row r="7" spans="1:24" s="2" customFormat="1" x14ac:dyDescent="0.25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  <c r="G7" s="2" t="s">
        <v>10</v>
      </c>
      <c r="H7" s="2" t="s">
        <v>11</v>
      </c>
      <c r="I7" s="2" t="s">
        <v>12</v>
      </c>
      <c r="J7" s="2" t="s">
        <v>13</v>
      </c>
      <c r="K7" s="2" t="s">
        <v>14</v>
      </c>
      <c r="L7" s="2" t="s">
        <v>90</v>
      </c>
      <c r="M7" s="2" t="s">
        <v>15</v>
      </c>
      <c r="N7" s="2" t="s">
        <v>88</v>
      </c>
      <c r="O7" s="2" t="s">
        <v>16</v>
      </c>
      <c r="P7" s="9" t="s">
        <v>122</v>
      </c>
      <c r="Q7" s="2" t="s">
        <v>91</v>
      </c>
      <c r="R7" s="2" t="s">
        <v>17</v>
      </c>
      <c r="S7" s="2" t="s">
        <v>18</v>
      </c>
      <c r="T7" s="2" t="s">
        <v>92</v>
      </c>
      <c r="U7" s="2" t="s">
        <v>19</v>
      </c>
      <c r="V7" s="2" t="s">
        <v>20</v>
      </c>
      <c r="W7" s="2" t="s">
        <v>21</v>
      </c>
      <c r="X7" s="2" t="s">
        <v>88</v>
      </c>
    </row>
    <row r="8" spans="1:24" x14ac:dyDescent="0.25">
      <c r="A8" s="1">
        <v>45898</v>
      </c>
      <c r="B8" s="1">
        <v>45902</v>
      </c>
      <c r="C8" t="s">
        <v>22</v>
      </c>
      <c r="D8" t="s">
        <v>23</v>
      </c>
      <c r="F8">
        <v>31</v>
      </c>
      <c r="H8" t="s">
        <v>24</v>
      </c>
      <c r="J8" t="s">
        <v>25</v>
      </c>
      <c r="K8" s="3">
        <v>10.3492</v>
      </c>
      <c r="O8">
        <v>0</v>
      </c>
      <c r="P8" s="3">
        <f>F8/1000*K8</f>
        <v>0.32082519999999998</v>
      </c>
      <c r="Q8" t="s">
        <v>26</v>
      </c>
      <c r="R8" t="s">
        <v>27</v>
      </c>
      <c r="V8" t="s">
        <v>28</v>
      </c>
    </row>
    <row r="9" spans="1:24" x14ac:dyDescent="0.25">
      <c r="A9" s="1">
        <v>45898</v>
      </c>
      <c r="B9" s="1">
        <v>45902</v>
      </c>
      <c r="C9" t="s">
        <v>22</v>
      </c>
      <c r="D9" t="s">
        <v>23</v>
      </c>
      <c r="F9">
        <v>5</v>
      </c>
      <c r="H9" t="s">
        <v>29</v>
      </c>
      <c r="I9" t="s">
        <v>30</v>
      </c>
      <c r="J9" t="s">
        <v>31</v>
      </c>
      <c r="K9" s="3">
        <v>10.3492</v>
      </c>
      <c r="O9">
        <v>0</v>
      </c>
      <c r="P9" s="3">
        <f>F9*K9</f>
        <v>51.745999999999995</v>
      </c>
      <c r="Q9" t="s">
        <v>26</v>
      </c>
      <c r="R9" t="s">
        <v>27</v>
      </c>
      <c r="V9" t="s">
        <v>28</v>
      </c>
    </row>
    <row r="10" spans="1:24" x14ac:dyDescent="0.25">
      <c r="A10" s="1">
        <v>45898</v>
      </c>
      <c r="B10" s="1">
        <v>45902</v>
      </c>
      <c r="C10" t="s">
        <v>22</v>
      </c>
      <c r="D10" t="s">
        <v>23</v>
      </c>
      <c r="F10">
        <v>664</v>
      </c>
      <c r="H10" t="s">
        <v>24</v>
      </c>
      <c r="J10" t="s">
        <v>25</v>
      </c>
      <c r="K10" s="3">
        <v>10.3492</v>
      </c>
      <c r="O10">
        <v>0</v>
      </c>
      <c r="P10" s="3">
        <f>F10/1000*K10</f>
        <v>6.8718688000000006</v>
      </c>
      <c r="Q10" t="s">
        <v>26</v>
      </c>
      <c r="R10" t="s">
        <v>27</v>
      </c>
      <c r="V10" t="s">
        <v>32</v>
      </c>
    </row>
    <row r="11" spans="1:24" x14ac:dyDescent="0.25">
      <c r="A11" s="1">
        <v>45898</v>
      </c>
      <c r="B11" s="1">
        <v>45902</v>
      </c>
      <c r="C11" t="s">
        <v>22</v>
      </c>
      <c r="D11" t="s">
        <v>23</v>
      </c>
      <c r="F11">
        <v>206</v>
      </c>
      <c r="H11" t="s">
        <v>29</v>
      </c>
      <c r="I11" t="s">
        <v>30</v>
      </c>
      <c r="J11" t="s">
        <v>31</v>
      </c>
      <c r="K11" s="3">
        <v>10.3492</v>
      </c>
      <c r="O11">
        <v>0</v>
      </c>
      <c r="P11" s="3">
        <f>F11*K11</f>
        <v>2131.9351999999999</v>
      </c>
      <c r="Q11" t="s">
        <v>26</v>
      </c>
      <c r="R11" t="s">
        <v>27</v>
      </c>
      <c r="V11" t="s">
        <v>32</v>
      </c>
    </row>
    <row r="12" spans="1:24" x14ac:dyDescent="0.25">
      <c r="A12" s="1">
        <v>45891</v>
      </c>
      <c r="C12" t="s">
        <v>33</v>
      </c>
      <c r="D12">
        <v>15</v>
      </c>
      <c r="F12">
        <v>202</v>
      </c>
      <c r="H12" t="s">
        <v>29</v>
      </c>
      <c r="I12" t="s">
        <v>30</v>
      </c>
      <c r="J12" t="s">
        <v>31</v>
      </c>
      <c r="O12">
        <v>0</v>
      </c>
      <c r="P12" s="10"/>
      <c r="R12" t="s">
        <v>34</v>
      </c>
      <c r="V12" t="s">
        <v>35</v>
      </c>
    </row>
    <row r="13" spans="1:24" x14ac:dyDescent="0.25">
      <c r="A13" s="1">
        <v>45891</v>
      </c>
      <c r="C13" t="s">
        <v>33</v>
      </c>
      <c r="D13" t="s">
        <v>23</v>
      </c>
      <c r="F13">
        <v>-202</v>
      </c>
      <c r="H13" t="s">
        <v>29</v>
      </c>
      <c r="I13" t="s">
        <v>30</v>
      </c>
      <c r="J13" t="s">
        <v>31</v>
      </c>
      <c r="O13">
        <v>0</v>
      </c>
      <c r="P13" s="10"/>
      <c r="Q13" t="s">
        <v>26</v>
      </c>
      <c r="R13" t="s">
        <v>34</v>
      </c>
      <c r="V13" t="s">
        <v>36</v>
      </c>
    </row>
    <row r="14" spans="1:24" x14ac:dyDescent="0.25">
      <c r="A14" s="1">
        <v>45890</v>
      </c>
      <c r="B14" s="1">
        <v>45891</v>
      </c>
      <c r="C14" t="s">
        <v>37</v>
      </c>
      <c r="D14">
        <v>15</v>
      </c>
      <c r="J14" t="s">
        <v>38</v>
      </c>
      <c r="O14">
        <v>-8.8000000000000007</v>
      </c>
      <c r="R14" t="s">
        <v>39</v>
      </c>
      <c r="V14" t="s">
        <v>40</v>
      </c>
    </row>
    <row r="15" spans="1:24" x14ac:dyDescent="0.25">
      <c r="A15" s="1">
        <v>45890</v>
      </c>
      <c r="C15" t="s">
        <v>41</v>
      </c>
      <c r="D15">
        <v>15</v>
      </c>
      <c r="F15">
        <v>-538</v>
      </c>
      <c r="H15" t="s">
        <v>24</v>
      </c>
      <c r="J15" t="s">
        <v>25</v>
      </c>
      <c r="O15">
        <v>0</v>
      </c>
      <c r="R15" t="s">
        <v>42</v>
      </c>
      <c r="V15" t="s">
        <v>43</v>
      </c>
    </row>
    <row r="16" spans="1:24" x14ac:dyDescent="0.25">
      <c r="A16" t="s">
        <v>44</v>
      </c>
      <c r="B16" s="1">
        <v>45890</v>
      </c>
      <c r="C16" t="s">
        <v>45</v>
      </c>
      <c r="D16">
        <v>15</v>
      </c>
      <c r="F16">
        <v>-202</v>
      </c>
      <c r="G16">
        <v>2902</v>
      </c>
      <c r="H16" t="s">
        <v>29</v>
      </c>
      <c r="I16" t="s">
        <v>30</v>
      </c>
      <c r="J16" t="s">
        <v>31</v>
      </c>
      <c r="K16">
        <v>10.1203</v>
      </c>
      <c r="L16" t="s">
        <v>26</v>
      </c>
      <c r="M16">
        <v>10.368</v>
      </c>
      <c r="N16" t="s">
        <v>26</v>
      </c>
      <c r="O16">
        <v>2884.14</v>
      </c>
      <c r="S16">
        <v>55.7</v>
      </c>
      <c r="T16" t="s">
        <v>26</v>
      </c>
      <c r="W16">
        <v>0</v>
      </c>
      <c r="X16" t="s">
        <v>26</v>
      </c>
    </row>
    <row r="17" spans="1:24" x14ac:dyDescent="0.25">
      <c r="A17" t="s">
        <v>46</v>
      </c>
      <c r="B17" s="1">
        <v>45884</v>
      </c>
      <c r="C17" t="s">
        <v>47</v>
      </c>
      <c r="D17">
        <v>15</v>
      </c>
      <c r="F17">
        <v>0</v>
      </c>
      <c r="G17">
        <v>2134</v>
      </c>
      <c r="H17">
        <v>9334944</v>
      </c>
      <c r="J17" t="s">
        <v>48</v>
      </c>
      <c r="M17">
        <v>0</v>
      </c>
      <c r="O17">
        <v>-1380.27</v>
      </c>
      <c r="W17">
        <v>0</v>
      </c>
    </row>
    <row r="18" spans="1:24" x14ac:dyDescent="0.25">
      <c r="A18" s="1">
        <v>45869</v>
      </c>
      <c r="B18" s="1">
        <v>45870</v>
      </c>
      <c r="C18" t="s">
        <v>22</v>
      </c>
      <c r="D18" t="s">
        <v>23</v>
      </c>
      <c r="F18">
        <v>355</v>
      </c>
      <c r="H18" t="s">
        <v>24</v>
      </c>
      <c r="J18" t="s">
        <v>25</v>
      </c>
      <c r="K18" s="3">
        <v>10.336499999999999</v>
      </c>
      <c r="O18">
        <v>0</v>
      </c>
      <c r="P18" s="3">
        <f>F18/1000*K18</f>
        <v>3.6694574999999996</v>
      </c>
      <c r="Q18" t="s">
        <v>26</v>
      </c>
      <c r="R18" t="s">
        <v>27</v>
      </c>
      <c r="V18" t="s">
        <v>49</v>
      </c>
    </row>
    <row r="19" spans="1:24" x14ac:dyDescent="0.25">
      <c r="A19" s="1">
        <v>45869</v>
      </c>
      <c r="B19" s="1">
        <v>45870</v>
      </c>
      <c r="C19" t="s">
        <v>22</v>
      </c>
      <c r="D19" t="s">
        <v>23</v>
      </c>
      <c r="F19">
        <v>5</v>
      </c>
      <c r="H19" t="s">
        <v>29</v>
      </c>
      <c r="I19" t="s">
        <v>30</v>
      </c>
      <c r="J19" t="s">
        <v>31</v>
      </c>
      <c r="K19" s="3">
        <v>10.336499999999999</v>
      </c>
      <c r="O19">
        <v>0</v>
      </c>
      <c r="P19" s="3">
        <f>F19*K19</f>
        <v>51.682499999999997</v>
      </c>
      <c r="Q19" t="s">
        <v>26</v>
      </c>
      <c r="R19" t="s">
        <v>27</v>
      </c>
      <c r="V19" t="s">
        <v>49</v>
      </c>
    </row>
    <row r="20" spans="1:24" x14ac:dyDescent="0.25">
      <c r="A20" s="1">
        <v>45867</v>
      </c>
      <c r="C20" t="s">
        <v>50</v>
      </c>
      <c r="D20" t="s">
        <v>23</v>
      </c>
      <c r="F20">
        <v>-1000</v>
      </c>
      <c r="H20" t="s">
        <v>24</v>
      </c>
      <c r="J20" t="s">
        <v>25</v>
      </c>
      <c r="K20" s="3"/>
      <c r="O20">
        <v>0</v>
      </c>
      <c r="Q20" t="s">
        <v>26</v>
      </c>
      <c r="R20" t="s">
        <v>51</v>
      </c>
      <c r="V20" t="s">
        <v>52</v>
      </c>
    </row>
    <row r="21" spans="1:24" x14ac:dyDescent="0.25">
      <c r="A21" s="1">
        <v>45867</v>
      </c>
      <c r="C21" t="s">
        <v>50</v>
      </c>
      <c r="D21" t="s">
        <v>23</v>
      </c>
      <c r="F21">
        <v>1</v>
      </c>
      <c r="H21" t="s">
        <v>29</v>
      </c>
      <c r="I21" t="s">
        <v>30</v>
      </c>
      <c r="J21" t="s">
        <v>31</v>
      </c>
      <c r="K21" s="3"/>
      <c r="O21">
        <v>0</v>
      </c>
      <c r="Q21" t="s">
        <v>26</v>
      </c>
      <c r="R21" t="s">
        <v>51</v>
      </c>
      <c r="V21" t="s">
        <v>52</v>
      </c>
    </row>
    <row r="22" spans="1:24" x14ac:dyDescent="0.25">
      <c r="A22" s="1">
        <v>45863</v>
      </c>
      <c r="B22" s="1">
        <v>45866</v>
      </c>
      <c r="C22" t="s">
        <v>22</v>
      </c>
      <c r="D22" t="s">
        <v>23</v>
      </c>
      <c r="F22">
        <v>326</v>
      </c>
      <c r="H22" t="s">
        <v>24</v>
      </c>
      <c r="J22" t="s">
        <v>25</v>
      </c>
      <c r="K22" s="3">
        <v>10.3248</v>
      </c>
      <c r="O22">
        <v>0</v>
      </c>
      <c r="P22" s="3">
        <f>F22/1000*K22</f>
        <v>3.3658847999999999</v>
      </c>
      <c r="Q22" t="s">
        <v>26</v>
      </c>
      <c r="R22" t="s">
        <v>27</v>
      </c>
      <c r="V22" t="s">
        <v>53</v>
      </c>
    </row>
    <row r="23" spans="1:24" x14ac:dyDescent="0.25">
      <c r="A23" s="1">
        <v>45863</v>
      </c>
      <c r="B23" s="1">
        <v>45866</v>
      </c>
      <c r="C23" t="s">
        <v>22</v>
      </c>
      <c r="D23" t="s">
        <v>23</v>
      </c>
      <c r="F23">
        <v>197</v>
      </c>
      <c r="H23" t="s">
        <v>29</v>
      </c>
      <c r="I23" t="s">
        <v>30</v>
      </c>
      <c r="J23" t="s">
        <v>31</v>
      </c>
      <c r="K23" s="3">
        <v>10.3248</v>
      </c>
      <c r="O23">
        <v>0</v>
      </c>
      <c r="P23" s="3">
        <f>F23*K23</f>
        <v>2033.9856</v>
      </c>
      <c r="Q23" t="s">
        <v>26</v>
      </c>
      <c r="R23" t="s">
        <v>27</v>
      </c>
      <c r="V23" t="s">
        <v>53</v>
      </c>
    </row>
    <row r="24" spans="1:24" x14ac:dyDescent="0.25">
      <c r="A24" s="1">
        <v>45859</v>
      </c>
      <c r="B24" s="1">
        <v>45860</v>
      </c>
      <c r="C24" t="s">
        <v>37</v>
      </c>
      <c r="D24">
        <v>15</v>
      </c>
      <c r="J24" t="s">
        <v>54</v>
      </c>
      <c r="O24">
        <v>-5.74</v>
      </c>
      <c r="R24" t="s">
        <v>39</v>
      </c>
      <c r="V24" t="s">
        <v>55</v>
      </c>
    </row>
    <row r="25" spans="1:24" x14ac:dyDescent="0.25">
      <c r="A25" t="s">
        <v>56</v>
      </c>
      <c r="B25" s="1">
        <v>45856</v>
      </c>
      <c r="C25" t="s">
        <v>47</v>
      </c>
      <c r="D25">
        <v>15</v>
      </c>
      <c r="F25">
        <v>0</v>
      </c>
      <c r="G25">
        <v>2045</v>
      </c>
      <c r="H25">
        <v>9334944</v>
      </c>
      <c r="J25" t="s">
        <v>48</v>
      </c>
      <c r="M25">
        <v>0</v>
      </c>
      <c r="O25">
        <v>-1313.19</v>
      </c>
      <c r="W25">
        <v>0</v>
      </c>
    </row>
    <row r="26" spans="1:24" x14ac:dyDescent="0.25">
      <c r="A26" s="1">
        <v>45854</v>
      </c>
      <c r="C26" t="s">
        <v>50</v>
      </c>
      <c r="D26" t="s">
        <v>23</v>
      </c>
      <c r="F26">
        <v>1000</v>
      </c>
      <c r="H26" t="s">
        <v>24</v>
      </c>
      <c r="J26" t="s">
        <v>25</v>
      </c>
      <c r="O26">
        <v>0</v>
      </c>
      <c r="Q26" t="s">
        <v>26</v>
      </c>
      <c r="R26" t="s">
        <v>51</v>
      </c>
      <c r="V26" t="s">
        <v>52</v>
      </c>
    </row>
    <row r="27" spans="1:24" x14ac:dyDescent="0.25">
      <c r="A27" s="1">
        <v>45854</v>
      </c>
      <c r="C27" t="s">
        <v>50</v>
      </c>
      <c r="D27" t="s">
        <v>23</v>
      </c>
      <c r="F27">
        <v>-1</v>
      </c>
      <c r="H27" t="s">
        <v>29</v>
      </c>
      <c r="I27" t="s">
        <v>30</v>
      </c>
      <c r="J27" t="s">
        <v>31</v>
      </c>
      <c r="O27">
        <v>0</v>
      </c>
      <c r="Q27" t="s">
        <v>26</v>
      </c>
      <c r="R27" t="s">
        <v>51</v>
      </c>
      <c r="V27" t="s">
        <v>52</v>
      </c>
    </row>
    <row r="28" spans="1:24" x14ac:dyDescent="0.25">
      <c r="A28" s="1">
        <v>45853</v>
      </c>
      <c r="C28" t="s">
        <v>41</v>
      </c>
      <c r="D28" t="s">
        <v>23</v>
      </c>
      <c r="F28">
        <v>-748</v>
      </c>
      <c r="H28" t="s">
        <v>24</v>
      </c>
      <c r="J28" t="s">
        <v>25</v>
      </c>
      <c r="O28">
        <v>0</v>
      </c>
      <c r="Q28" t="s">
        <v>26</v>
      </c>
      <c r="R28" t="s">
        <v>42</v>
      </c>
      <c r="V28" t="s">
        <v>57</v>
      </c>
    </row>
    <row r="29" spans="1:24" x14ac:dyDescent="0.25">
      <c r="A29" t="s">
        <v>58</v>
      </c>
      <c r="B29" s="1">
        <v>45853</v>
      </c>
      <c r="C29" t="s">
        <v>45</v>
      </c>
      <c r="D29" t="s">
        <v>23</v>
      </c>
      <c r="F29">
        <v>-40</v>
      </c>
      <c r="G29">
        <v>7885</v>
      </c>
      <c r="H29" t="s">
        <v>29</v>
      </c>
      <c r="I29" t="s">
        <v>30</v>
      </c>
      <c r="J29" t="s">
        <v>31</v>
      </c>
      <c r="K29">
        <v>10.1197</v>
      </c>
      <c r="L29" t="s">
        <v>26</v>
      </c>
      <c r="M29">
        <v>10.307</v>
      </c>
      <c r="N29" t="s">
        <v>26</v>
      </c>
      <c r="O29">
        <v>420</v>
      </c>
      <c r="Q29" t="s">
        <v>26</v>
      </c>
      <c r="S29">
        <v>15.21</v>
      </c>
      <c r="T29" t="s">
        <v>26</v>
      </c>
      <c r="W29">
        <v>0</v>
      </c>
      <c r="X29" t="s">
        <v>26</v>
      </c>
    </row>
    <row r="30" spans="1:24" x14ac:dyDescent="0.25">
      <c r="A30" s="1">
        <v>45852</v>
      </c>
      <c r="C30" t="s">
        <v>59</v>
      </c>
      <c r="D30" t="s">
        <v>23</v>
      </c>
      <c r="J30" t="s">
        <v>60</v>
      </c>
      <c r="O30">
        <v>-906.81</v>
      </c>
      <c r="Q30" t="s">
        <v>26</v>
      </c>
      <c r="R30" t="s">
        <v>61</v>
      </c>
      <c r="V30" t="s">
        <v>62</v>
      </c>
    </row>
    <row r="31" spans="1:24" x14ac:dyDescent="0.25">
      <c r="A31" s="1">
        <v>45852</v>
      </c>
      <c r="C31" t="s">
        <v>59</v>
      </c>
      <c r="D31">
        <v>15</v>
      </c>
      <c r="J31" t="s">
        <v>60</v>
      </c>
      <c r="O31">
        <v>1230</v>
      </c>
      <c r="R31" t="s">
        <v>61</v>
      </c>
      <c r="V31" t="s">
        <v>62</v>
      </c>
    </row>
    <row r="32" spans="1:24" x14ac:dyDescent="0.25">
      <c r="A32" s="1">
        <v>45840</v>
      </c>
      <c r="C32" t="s">
        <v>50</v>
      </c>
      <c r="D32" t="s">
        <v>23</v>
      </c>
      <c r="F32">
        <v>-1000</v>
      </c>
      <c r="H32" t="s">
        <v>24</v>
      </c>
      <c r="J32" t="s">
        <v>25</v>
      </c>
      <c r="O32">
        <v>0</v>
      </c>
      <c r="Q32" t="s">
        <v>26</v>
      </c>
      <c r="R32" t="s">
        <v>51</v>
      </c>
      <c r="V32" t="s">
        <v>52</v>
      </c>
    </row>
    <row r="33" spans="1:23" x14ac:dyDescent="0.25">
      <c r="A33" s="1">
        <v>45840</v>
      </c>
      <c r="C33" t="s">
        <v>50</v>
      </c>
      <c r="D33" t="s">
        <v>23</v>
      </c>
      <c r="F33">
        <v>1</v>
      </c>
      <c r="H33" t="s">
        <v>29</v>
      </c>
      <c r="I33" t="s">
        <v>30</v>
      </c>
      <c r="J33" t="s">
        <v>31</v>
      </c>
      <c r="O33">
        <v>0</v>
      </c>
      <c r="Q33" t="s">
        <v>26</v>
      </c>
      <c r="R33" t="s">
        <v>51</v>
      </c>
      <c r="V33" t="s">
        <v>52</v>
      </c>
    </row>
    <row r="34" spans="1:23" x14ac:dyDescent="0.25">
      <c r="A34" s="1">
        <v>45838</v>
      </c>
      <c r="B34" s="1">
        <v>45840</v>
      </c>
      <c r="C34" t="s">
        <v>22</v>
      </c>
      <c r="D34" t="s">
        <v>23</v>
      </c>
      <c r="F34">
        <v>339</v>
      </c>
      <c r="H34" t="s">
        <v>24</v>
      </c>
      <c r="J34" t="s">
        <v>25</v>
      </c>
      <c r="K34" s="3">
        <v>10.3492</v>
      </c>
      <c r="O34">
        <v>0</v>
      </c>
      <c r="P34" s="3">
        <f>F34/1000*K34</f>
        <v>3.5083788</v>
      </c>
      <c r="Q34" t="s">
        <v>26</v>
      </c>
      <c r="R34" t="s">
        <v>27</v>
      </c>
      <c r="V34" t="s">
        <v>63</v>
      </c>
    </row>
    <row r="35" spans="1:23" x14ac:dyDescent="0.25">
      <c r="A35" s="1">
        <v>45838</v>
      </c>
      <c r="B35" s="1">
        <v>45840</v>
      </c>
      <c r="C35" t="s">
        <v>22</v>
      </c>
      <c r="D35" t="s">
        <v>23</v>
      </c>
      <c r="F35">
        <v>5</v>
      </c>
      <c r="H35" t="s">
        <v>29</v>
      </c>
      <c r="I35" t="s">
        <v>30</v>
      </c>
      <c r="J35" t="s">
        <v>31</v>
      </c>
      <c r="K35" s="3">
        <v>10.3492</v>
      </c>
      <c r="O35">
        <v>0</v>
      </c>
      <c r="P35" s="3">
        <f>F35*K35</f>
        <v>51.745999999999995</v>
      </c>
      <c r="Q35" t="s">
        <v>26</v>
      </c>
      <c r="R35" t="s">
        <v>27</v>
      </c>
      <c r="V35" t="s">
        <v>63</v>
      </c>
    </row>
    <row r="36" spans="1:23" x14ac:dyDescent="0.25">
      <c r="A36" s="1">
        <v>45835</v>
      </c>
      <c r="B36" s="1">
        <v>45838</v>
      </c>
      <c r="C36" t="s">
        <v>22</v>
      </c>
      <c r="D36" t="s">
        <v>23</v>
      </c>
      <c r="F36">
        <v>686</v>
      </c>
      <c r="H36" t="s">
        <v>24</v>
      </c>
      <c r="J36" t="s">
        <v>25</v>
      </c>
      <c r="K36" s="3">
        <v>10.3492</v>
      </c>
      <c r="O36">
        <v>0</v>
      </c>
      <c r="P36" s="3">
        <f>F36/1000*K36</f>
        <v>7.0995512000000005</v>
      </c>
      <c r="Q36" t="s">
        <v>26</v>
      </c>
      <c r="R36" t="s">
        <v>27</v>
      </c>
      <c r="V36" t="s">
        <v>64</v>
      </c>
    </row>
    <row r="37" spans="1:23" x14ac:dyDescent="0.25">
      <c r="A37" s="1">
        <v>45835</v>
      </c>
      <c r="B37" s="1">
        <v>45838</v>
      </c>
      <c r="C37" t="s">
        <v>22</v>
      </c>
      <c r="D37" t="s">
        <v>23</v>
      </c>
      <c r="F37">
        <v>195</v>
      </c>
      <c r="H37" t="s">
        <v>29</v>
      </c>
      <c r="I37" t="s">
        <v>30</v>
      </c>
      <c r="J37" t="s">
        <v>31</v>
      </c>
      <c r="K37" s="3">
        <v>10.3492</v>
      </c>
      <c r="O37">
        <v>0</v>
      </c>
      <c r="P37" s="3">
        <f>F37*K37</f>
        <v>2018.0940000000001</v>
      </c>
      <c r="Q37" t="s">
        <v>26</v>
      </c>
      <c r="R37" t="s">
        <v>27</v>
      </c>
      <c r="V37" t="s">
        <v>64</v>
      </c>
    </row>
    <row r="38" spans="1:23" x14ac:dyDescent="0.25">
      <c r="A38" t="s">
        <v>65</v>
      </c>
      <c r="B38" s="1">
        <v>45828</v>
      </c>
      <c r="C38" t="s">
        <v>47</v>
      </c>
      <c r="D38">
        <v>15</v>
      </c>
      <c r="F38">
        <v>0</v>
      </c>
      <c r="G38">
        <v>768</v>
      </c>
      <c r="H38">
        <v>9334944</v>
      </c>
      <c r="J38" t="s">
        <v>48</v>
      </c>
      <c r="M38">
        <v>0</v>
      </c>
      <c r="O38">
        <v>-1297.06</v>
      </c>
      <c r="W38">
        <v>0</v>
      </c>
    </row>
    <row r="39" spans="1:23" x14ac:dyDescent="0.25">
      <c r="A39" s="1">
        <v>45811</v>
      </c>
      <c r="C39" t="s">
        <v>50</v>
      </c>
      <c r="D39" t="s">
        <v>23</v>
      </c>
      <c r="F39">
        <v>-1000</v>
      </c>
      <c r="H39" t="s">
        <v>24</v>
      </c>
      <c r="J39" t="s">
        <v>25</v>
      </c>
      <c r="O39">
        <v>0</v>
      </c>
      <c r="Q39" t="s">
        <v>26</v>
      </c>
      <c r="R39" t="s">
        <v>51</v>
      </c>
      <c r="V39" t="s">
        <v>52</v>
      </c>
    </row>
    <row r="40" spans="1:23" x14ac:dyDescent="0.25">
      <c r="A40" s="1">
        <v>45811</v>
      </c>
      <c r="C40" t="s">
        <v>50</v>
      </c>
      <c r="D40" t="s">
        <v>23</v>
      </c>
      <c r="F40">
        <v>1</v>
      </c>
      <c r="H40" t="s">
        <v>29</v>
      </c>
      <c r="I40" t="s">
        <v>30</v>
      </c>
      <c r="J40" t="s">
        <v>31</v>
      </c>
      <c r="O40">
        <v>0</v>
      </c>
      <c r="Q40" t="s">
        <v>26</v>
      </c>
      <c r="R40" t="s">
        <v>51</v>
      </c>
      <c r="V40" t="s">
        <v>52</v>
      </c>
    </row>
    <row r="41" spans="1:23" x14ac:dyDescent="0.25">
      <c r="A41" s="1">
        <v>45807</v>
      </c>
      <c r="B41" s="1">
        <v>45810</v>
      </c>
      <c r="C41" t="s">
        <v>22</v>
      </c>
      <c r="D41" t="s">
        <v>23</v>
      </c>
      <c r="F41">
        <v>951</v>
      </c>
      <c r="H41" t="s">
        <v>24</v>
      </c>
      <c r="J41" t="s">
        <v>25</v>
      </c>
      <c r="K41" s="3">
        <v>10.3492</v>
      </c>
      <c r="O41">
        <v>0</v>
      </c>
      <c r="P41" s="3">
        <f>F41/1000*K41</f>
        <v>9.8420891999999984</v>
      </c>
      <c r="Q41" t="s">
        <v>26</v>
      </c>
      <c r="R41" t="s">
        <v>27</v>
      </c>
      <c r="V41" t="s">
        <v>66</v>
      </c>
    </row>
    <row r="42" spans="1:23" x14ac:dyDescent="0.25">
      <c r="A42" s="1">
        <v>45807</v>
      </c>
      <c r="B42" s="1">
        <v>45810</v>
      </c>
      <c r="C42" t="s">
        <v>22</v>
      </c>
      <c r="D42" t="s">
        <v>23</v>
      </c>
      <c r="F42">
        <v>3</v>
      </c>
      <c r="H42" t="s">
        <v>29</v>
      </c>
      <c r="I42" t="s">
        <v>30</v>
      </c>
      <c r="J42" t="s">
        <v>31</v>
      </c>
      <c r="K42" s="3">
        <v>10.3492</v>
      </c>
      <c r="O42">
        <v>0</v>
      </c>
      <c r="P42" s="3">
        <f>F42*K42</f>
        <v>31.047599999999999</v>
      </c>
      <c r="Q42" t="s">
        <v>26</v>
      </c>
      <c r="R42" t="s">
        <v>27</v>
      </c>
      <c r="V42" t="s">
        <v>66</v>
      </c>
    </row>
    <row r="43" spans="1:23" x14ac:dyDescent="0.25">
      <c r="A43" s="1">
        <v>45807</v>
      </c>
      <c r="B43" s="1">
        <v>45810</v>
      </c>
      <c r="C43" t="s">
        <v>22</v>
      </c>
      <c r="D43" t="s">
        <v>23</v>
      </c>
      <c r="F43">
        <v>63</v>
      </c>
      <c r="H43" t="s">
        <v>24</v>
      </c>
      <c r="J43" t="s">
        <v>25</v>
      </c>
      <c r="K43" s="3">
        <v>10.3492</v>
      </c>
      <c r="O43">
        <v>0</v>
      </c>
      <c r="P43" s="3">
        <f>F43/1000*K43</f>
        <v>0.65199960000000001</v>
      </c>
      <c r="Q43" t="s">
        <v>26</v>
      </c>
      <c r="R43" t="s">
        <v>27</v>
      </c>
      <c r="V43" t="s">
        <v>67</v>
      </c>
    </row>
    <row r="44" spans="1:23" x14ac:dyDescent="0.25">
      <c r="A44" s="1">
        <v>45807</v>
      </c>
      <c r="B44" s="1">
        <v>45810</v>
      </c>
      <c r="C44" t="s">
        <v>22</v>
      </c>
      <c r="D44" t="s">
        <v>23</v>
      </c>
      <c r="F44">
        <v>192</v>
      </c>
      <c r="H44" t="s">
        <v>29</v>
      </c>
      <c r="I44" t="s">
        <v>30</v>
      </c>
      <c r="J44" t="s">
        <v>31</v>
      </c>
      <c r="K44" s="3">
        <v>10.3492</v>
      </c>
      <c r="O44">
        <v>0</v>
      </c>
      <c r="P44" s="3">
        <f>F44*K44</f>
        <v>1987.0463999999999</v>
      </c>
      <c r="Q44" t="s">
        <v>26</v>
      </c>
      <c r="R44" t="s">
        <v>27</v>
      </c>
      <c r="V44" t="s">
        <v>67</v>
      </c>
    </row>
    <row r="45" spans="1:23" x14ac:dyDescent="0.25">
      <c r="A45" s="1">
        <v>45784</v>
      </c>
      <c r="C45" t="s">
        <v>41</v>
      </c>
      <c r="D45" t="s">
        <v>23</v>
      </c>
      <c r="F45">
        <v>-830</v>
      </c>
      <c r="H45" t="s">
        <v>68</v>
      </c>
      <c r="J45" t="s">
        <v>69</v>
      </c>
      <c r="O45">
        <v>0</v>
      </c>
      <c r="Q45" t="s">
        <v>26</v>
      </c>
      <c r="R45" t="s">
        <v>42</v>
      </c>
      <c r="V45" t="s">
        <v>70</v>
      </c>
    </row>
    <row r="46" spans="1:23" x14ac:dyDescent="0.25">
      <c r="A46" s="1">
        <v>45784</v>
      </c>
      <c r="C46" t="s">
        <v>71</v>
      </c>
      <c r="D46" t="s">
        <v>23</v>
      </c>
      <c r="F46">
        <v>688</v>
      </c>
      <c r="H46" t="s">
        <v>24</v>
      </c>
      <c r="J46" t="s">
        <v>25</v>
      </c>
      <c r="O46">
        <v>0</v>
      </c>
      <c r="Q46" t="s">
        <v>26</v>
      </c>
      <c r="R46" t="s">
        <v>72</v>
      </c>
      <c r="V46" t="s">
        <v>73</v>
      </c>
    </row>
    <row r="47" spans="1:23" x14ac:dyDescent="0.25">
      <c r="A47" s="1">
        <v>45783</v>
      </c>
      <c r="B47" s="1">
        <v>45784</v>
      </c>
      <c r="C47" t="s">
        <v>37</v>
      </c>
      <c r="D47" t="s">
        <v>23</v>
      </c>
      <c r="F47">
        <v>640</v>
      </c>
      <c r="H47" t="s">
        <v>68</v>
      </c>
      <c r="J47" t="s">
        <v>69</v>
      </c>
      <c r="K47" s="3">
        <v>1</v>
      </c>
      <c r="O47">
        <v>0</v>
      </c>
      <c r="P47" s="3">
        <f>F47/1000*K47</f>
        <v>0.64</v>
      </c>
      <c r="Q47" t="s">
        <v>26</v>
      </c>
      <c r="R47" t="s">
        <v>74</v>
      </c>
      <c r="V47" t="s">
        <v>75</v>
      </c>
    </row>
    <row r="48" spans="1:23" x14ac:dyDescent="0.25">
      <c r="A48" s="1">
        <v>45783</v>
      </c>
      <c r="B48" s="1">
        <v>45784</v>
      </c>
      <c r="C48" t="s">
        <v>37</v>
      </c>
      <c r="D48" t="s">
        <v>23</v>
      </c>
      <c r="F48">
        <v>481</v>
      </c>
      <c r="H48" t="s">
        <v>76</v>
      </c>
      <c r="I48" t="s">
        <v>77</v>
      </c>
      <c r="J48" t="s">
        <v>78</v>
      </c>
      <c r="K48" s="3">
        <v>1</v>
      </c>
      <c r="O48">
        <v>0</v>
      </c>
      <c r="P48" s="3">
        <f>F48*K48</f>
        <v>481</v>
      </c>
      <c r="Q48" t="s">
        <v>26</v>
      </c>
      <c r="R48" t="s">
        <v>74</v>
      </c>
      <c r="V48" t="s">
        <v>75</v>
      </c>
    </row>
    <row r="49" spans="1:24" x14ac:dyDescent="0.25">
      <c r="A49" t="s">
        <v>79</v>
      </c>
      <c r="B49" s="1">
        <v>45784</v>
      </c>
      <c r="C49" t="s">
        <v>45</v>
      </c>
      <c r="D49" t="s">
        <v>23</v>
      </c>
      <c r="F49">
        <v>-751763</v>
      </c>
      <c r="G49">
        <v>7671</v>
      </c>
      <c r="H49" t="s">
        <v>76</v>
      </c>
      <c r="I49" t="s">
        <v>77</v>
      </c>
      <c r="J49" t="s">
        <v>78</v>
      </c>
      <c r="K49">
        <v>1</v>
      </c>
      <c r="L49" t="s">
        <v>26</v>
      </c>
      <c r="M49">
        <v>1</v>
      </c>
      <c r="N49" t="s">
        <v>26</v>
      </c>
      <c r="O49">
        <v>751763.83</v>
      </c>
      <c r="Q49" t="s">
        <v>26</v>
      </c>
      <c r="S49">
        <v>0.83</v>
      </c>
      <c r="T49" t="s">
        <v>26</v>
      </c>
      <c r="W49">
        <v>0</v>
      </c>
      <c r="X49" t="s">
        <v>26</v>
      </c>
    </row>
    <row r="50" spans="1:24" x14ac:dyDescent="0.25">
      <c r="A50" t="s">
        <v>79</v>
      </c>
      <c r="B50" s="1">
        <v>45784</v>
      </c>
      <c r="C50" t="s">
        <v>47</v>
      </c>
      <c r="D50" t="s">
        <v>23</v>
      </c>
      <c r="F50">
        <v>74244</v>
      </c>
      <c r="G50">
        <v>6319</v>
      </c>
      <c r="H50" t="s">
        <v>29</v>
      </c>
      <c r="I50" t="s">
        <v>30</v>
      </c>
      <c r="J50" t="s">
        <v>31</v>
      </c>
      <c r="M50">
        <v>10.119</v>
      </c>
      <c r="N50" t="s">
        <v>26</v>
      </c>
      <c r="O50">
        <v>-751282</v>
      </c>
      <c r="Q50" t="s">
        <v>26</v>
      </c>
      <c r="W50">
        <v>0</v>
      </c>
      <c r="X50" t="s">
        <v>26</v>
      </c>
    </row>
    <row r="51" spans="1:24" x14ac:dyDescent="0.25">
      <c r="A51" s="1">
        <v>45777</v>
      </c>
      <c r="B51" s="1">
        <v>45778</v>
      </c>
      <c r="C51" t="s">
        <v>37</v>
      </c>
      <c r="D51" t="s">
        <v>23</v>
      </c>
      <c r="F51">
        <v>190</v>
      </c>
      <c r="H51" t="s">
        <v>68</v>
      </c>
      <c r="J51" t="s">
        <v>69</v>
      </c>
      <c r="K51" s="3">
        <v>1</v>
      </c>
      <c r="O51">
        <v>0</v>
      </c>
      <c r="P51" s="3">
        <f>F51/1000*K51</f>
        <v>0.19</v>
      </c>
      <c r="Q51" t="s">
        <v>26</v>
      </c>
      <c r="R51" t="s">
        <v>74</v>
      </c>
      <c r="V51" t="s">
        <v>80</v>
      </c>
    </row>
    <row r="52" spans="1:24" x14ac:dyDescent="0.25">
      <c r="A52" s="1">
        <v>45777</v>
      </c>
      <c r="B52" s="1">
        <v>45778</v>
      </c>
      <c r="C52" t="s">
        <v>37</v>
      </c>
      <c r="D52" t="s">
        <v>23</v>
      </c>
      <c r="F52">
        <v>1282</v>
      </c>
      <c r="H52" t="s">
        <v>76</v>
      </c>
      <c r="I52" t="s">
        <v>77</v>
      </c>
      <c r="J52" t="s">
        <v>78</v>
      </c>
      <c r="K52" s="3">
        <v>1</v>
      </c>
      <c r="O52">
        <v>0</v>
      </c>
      <c r="P52" s="3">
        <f>F52*K52</f>
        <v>1282</v>
      </c>
      <c r="Q52" t="s">
        <v>26</v>
      </c>
      <c r="R52" t="s">
        <v>74</v>
      </c>
      <c r="V52" t="s">
        <v>80</v>
      </c>
    </row>
    <row r="53" spans="1:24" x14ac:dyDescent="0.25">
      <c r="A53" s="1">
        <v>45768</v>
      </c>
      <c r="B53" s="1">
        <v>45769</v>
      </c>
      <c r="C53" t="s">
        <v>37</v>
      </c>
      <c r="D53" t="s">
        <v>23</v>
      </c>
      <c r="J53" t="s">
        <v>81</v>
      </c>
      <c r="O53">
        <v>6.16</v>
      </c>
      <c r="Q53" t="s">
        <v>26</v>
      </c>
      <c r="R53" t="s">
        <v>39</v>
      </c>
      <c r="V53" t="s">
        <v>82</v>
      </c>
    </row>
    <row r="54" spans="1:24" x14ac:dyDescent="0.25">
      <c r="A54" t="s">
        <v>83</v>
      </c>
      <c r="B54" s="1">
        <v>45762</v>
      </c>
      <c r="C54" t="s">
        <v>47</v>
      </c>
      <c r="D54" t="s">
        <v>23</v>
      </c>
      <c r="F54">
        <v>750000</v>
      </c>
      <c r="G54">
        <v>1898</v>
      </c>
      <c r="H54" t="s">
        <v>76</v>
      </c>
      <c r="I54" t="s">
        <v>77</v>
      </c>
      <c r="J54" t="s">
        <v>78</v>
      </c>
      <c r="M54">
        <v>1</v>
      </c>
      <c r="N54" t="s">
        <v>26</v>
      </c>
      <c r="O54">
        <v>-750000</v>
      </c>
      <c r="Q54" t="s">
        <v>26</v>
      </c>
      <c r="W54">
        <v>0</v>
      </c>
      <c r="X54" t="s">
        <v>26</v>
      </c>
    </row>
    <row r="55" spans="1:24" x14ac:dyDescent="0.25">
      <c r="A55" s="1">
        <v>45756</v>
      </c>
      <c r="C55" t="s">
        <v>84</v>
      </c>
      <c r="D55" t="s">
        <v>23</v>
      </c>
      <c r="J55" t="s">
        <v>85</v>
      </c>
      <c r="O55">
        <v>750000</v>
      </c>
      <c r="Q55" t="s">
        <v>26</v>
      </c>
      <c r="R55" t="s">
        <v>86</v>
      </c>
      <c r="V55" t="s">
        <v>85</v>
      </c>
    </row>
    <row r="57" spans="1:24" s="3" customFormat="1" x14ac:dyDescent="0.25">
      <c r="A57" s="3" t="s">
        <v>87</v>
      </c>
    </row>
    <row r="58" spans="1:24" s="3" customFormat="1" x14ac:dyDescent="0.25">
      <c r="A58" s="3" t="s">
        <v>133</v>
      </c>
    </row>
    <row r="59" spans="1:24" s="3" customFormat="1" x14ac:dyDescent="0.25">
      <c r="A59" s="3" t="s">
        <v>89</v>
      </c>
    </row>
    <row r="60" spans="1:24" s="3" customFormat="1" x14ac:dyDescent="0.25">
      <c r="A60" s="3" t="s">
        <v>134</v>
      </c>
    </row>
    <row r="61" spans="1:24" s="3" customFormat="1" x14ac:dyDescent="0.25">
      <c r="A61" s="3" t="s">
        <v>123</v>
      </c>
    </row>
    <row r="62" spans="1:24" s="3" customFormat="1" x14ac:dyDescent="0.25">
      <c r="A62" s="3" t="s">
        <v>135</v>
      </c>
    </row>
    <row r="63" spans="1:24" s="3" customFormat="1" x14ac:dyDescent="0.25">
      <c r="A63" s="3" t="s">
        <v>136</v>
      </c>
    </row>
    <row r="64" spans="1:24" s="3" customFormat="1" x14ac:dyDescent="0.25"/>
    <row r="65" s="3" customFormat="1" x14ac:dyDescent="0.25"/>
    <row r="66" s="3" customFormat="1" x14ac:dyDescent="0.25"/>
    <row r="67" s="3" customFormat="1" x14ac:dyDescent="0.25"/>
    <row r="68" s="3" customFormat="1" x14ac:dyDescent="0.25"/>
    <row r="69" s="3" customFormat="1" x14ac:dyDescent="0.25"/>
    <row r="70" s="3" customFormat="1" x14ac:dyDescent="0.25"/>
    <row r="71" s="3" customFormat="1" x14ac:dyDescent="0.25"/>
    <row r="72" s="3" customFormat="1" x14ac:dyDescent="0.25"/>
    <row r="73" s="3" customFormat="1" x14ac:dyDescent="0.25"/>
    <row r="74" s="3" customFormat="1" x14ac:dyDescent="0.25"/>
    <row r="75" s="3" customFormat="1" x14ac:dyDescent="0.25"/>
    <row r="76" s="3" customFormat="1" x14ac:dyDescent="0.25"/>
    <row r="77" s="3" customFormat="1" x14ac:dyDescent="0.25"/>
    <row r="78" s="3" customFormat="1" x14ac:dyDescent="0.25"/>
    <row r="79" s="3" customFormat="1" x14ac:dyDescent="0.25"/>
    <row r="80" s="3" customFormat="1" x14ac:dyDescent="0.25"/>
    <row r="81" s="3" customFormat="1" x14ac:dyDescent="0.25"/>
    <row r="82" s="3" customFormat="1" x14ac:dyDescent="0.25"/>
    <row r="83" s="3" customFormat="1" x14ac:dyDescent="0.25"/>
    <row r="84" s="3" customFormat="1" x14ac:dyDescent="0.25"/>
    <row r="85" s="3" customFormat="1" x14ac:dyDescent="0.25"/>
    <row r="86" s="3" customFormat="1" x14ac:dyDescent="0.25"/>
    <row r="87" s="3" customFormat="1" x14ac:dyDescent="0.25"/>
    <row r="88" s="3" customFormat="1" x14ac:dyDescent="0.25"/>
    <row r="89" s="3" customFormat="1" x14ac:dyDescent="0.25"/>
    <row r="90" s="3" customFormat="1" x14ac:dyDescent="0.25"/>
    <row r="91" s="3" customFormat="1" x14ac:dyDescent="0.25"/>
    <row r="92" s="3" customFormat="1" x14ac:dyDescent="0.25"/>
    <row r="93" s="3" customFormat="1" x14ac:dyDescent="0.25"/>
    <row r="94" s="3" customFormat="1" x14ac:dyDescent="0.25"/>
    <row r="95" s="3" customFormat="1" x14ac:dyDescent="0.25"/>
    <row r="96" s="3" customFormat="1" x14ac:dyDescent="0.25"/>
    <row r="97" s="3" customFormat="1" x14ac:dyDescent="0.25"/>
    <row r="98" s="3" customFormat="1" x14ac:dyDescent="0.25"/>
    <row r="99" s="3" customFormat="1" x14ac:dyDescent="0.25"/>
    <row r="100" s="3" customFormat="1" x14ac:dyDescent="0.25"/>
    <row r="101" s="3" customFormat="1" x14ac:dyDescent="0.25"/>
    <row r="102" s="3" customFormat="1" x14ac:dyDescent="0.25"/>
    <row r="103" s="3" customFormat="1" x14ac:dyDescent="0.25"/>
    <row r="104" s="3" customFormat="1" x14ac:dyDescent="0.25"/>
    <row r="105" s="3" customFormat="1" x14ac:dyDescent="0.25"/>
    <row r="106" s="3" customFormat="1" x14ac:dyDescent="0.25"/>
    <row r="107" s="3" customFormat="1" x14ac:dyDescent="0.25"/>
    <row r="108" s="3" customFormat="1" x14ac:dyDescent="0.25"/>
    <row r="109" s="3" customFormat="1" x14ac:dyDescent="0.25"/>
    <row r="110" s="3" customFormat="1" x14ac:dyDescent="0.25"/>
    <row r="111" s="3" customFormat="1" x14ac:dyDescent="0.25"/>
    <row r="112" s="3" customFormat="1" x14ac:dyDescent="0.25"/>
    <row r="113" s="3" customFormat="1" x14ac:dyDescent="0.25"/>
    <row r="114" s="3" customFormat="1" x14ac:dyDescent="0.25"/>
    <row r="115" s="3" customFormat="1" x14ac:dyDescent="0.25"/>
    <row r="116" s="3" customFormat="1" x14ac:dyDescent="0.25"/>
    <row r="117" s="3" customFormat="1" x14ac:dyDescent="0.25"/>
    <row r="118" s="3" customFormat="1" x14ac:dyDescent="0.25"/>
    <row r="119" s="3" customFormat="1" x14ac:dyDescent="0.25"/>
    <row r="120" s="3" customFormat="1" x14ac:dyDescent="0.25"/>
    <row r="121" s="3" customFormat="1" x14ac:dyDescent="0.25"/>
    <row r="122" s="3" customFormat="1" x14ac:dyDescent="0.25"/>
    <row r="123" s="3" customFormat="1" x14ac:dyDescent="0.25"/>
    <row r="124" s="3" customFormat="1" x14ac:dyDescent="0.25"/>
    <row r="125" s="3" customFormat="1" x14ac:dyDescent="0.25"/>
    <row r="126" s="3" customFormat="1" x14ac:dyDescent="0.25"/>
    <row r="127" s="3" customFormat="1" x14ac:dyDescent="0.25"/>
    <row r="128" s="3" customFormat="1" x14ac:dyDescent="0.25"/>
    <row r="129" s="3" customFormat="1" x14ac:dyDescent="0.25"/>
    <row r="130" s="3" customFormat="1" x14ac:dyDescent="0.25"/>
    <row r="131" s="3" customFormat="1" x14ac:dyDescent="0.25"/>
    <row r="132" s="3" customFormat="1" x14ac:dyDescent="0.25"/>
    <row r="133" s="3" customFormat="1" x14ac:dyDescent="0.25"/>
    <row r="134" s="3" customFormat="1" x14ac:dyDescent="0.25"/>
    <row r="135" s="3" customFormat="1" x14ac:dyDescent="0.25"/>
    <row r="136" s="3" customFormat="1" x14ac:dyDescent="0.25"/>
    <row r="137" s="3" customFormat="1" x14ac:dyDescent="0.25"/>
    <row r="138" s="3" customFormat="1" x14ac:dyDescent="0.25"/>
    <row r="139" s="3" customFormat="1" x14ac:dyDescent="0.25"/>
    <row r="140" s="3" customFormat="1" x14ac:dyDescent="0.25"/>
    <row r="141" s="3" customFormat="1" x14ac:dyDescent="0.25"/>
    <row r="142" s="3" customFormat="1" x14ac:dyDescent="0.25"/>
    <row r="143" s="3" customFormat="1" x14ac:dyDescent="0.25"/>
    <row r="144" s="3" customFormat="1" x14ac:dyDescent="0.25"/>
    <row r="145" s="3" customFormat="1" x14ac:dyDescent="0.25"/>
    <row r="146" s="3" customFormat="1" x14ac:dyDescent="0.25"/>
    <row r="147" s="3" customFormat="1" x14ac:dyDescent="0.25"/>
    <row r="148" s="3" customFormat="1" x14ac:dyDescent="0.25"/>
    <row r="149" s="3" customFormat="1" x14ac:dyDescent="0.25"/>
    <row r="150" s="3" customFormat="1" x14ac:dyDescent="0.25"/>
    <row r="151" s="3" customFormat="1" x14ac:dyDescent="0.25"/>
    <row r="152" s="3" customFormat="1" x14ac:dyDescent="0.25"/>
    <row r="153" s="3" customFormat="1" x14ac:dyDescent="0.25"/>
    <row r="154" s="3" customFormat="1" x14ac:dyDescent="0.25"/>
    <row r="155" s="3" customFormat="1" x14ac:dyDescent="0.25"/>
    <row r="156" s="3" customFormat="1" x14ac:dyDescent="0.25"/>
    <row r="157" s="3" customFormat="1" x14ac:dyDescent="0.25"/>
    <row r="158" s="3" customFormat="1" x14ac:dyDescent="0.25"/>
    <row r="159" s="3" customFormat="1" x14ac:dyDescent="0.25"/>
    <row r="160" s="3" customFormat="1" x14ac:dyDescent="0.25"/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s="3" customFormat="1" x14ac:dyDescent="0.25"/>
    <row r="172" s="3" customFormat="1" x14ac:dyDescent="0.25"/>
    <row r="173" s="3" customFormat="1" x14ac:dyDescent="0.25"/>
    <row r="174" s="3" customFormat="1" x14ac:dyDescent="0.25"/>
    <row r="175" s="3" customFormat="1" x14ac:dyDescent="0.25"/>
    <row r="176" s="3" customFormat="1" x14ac:dyDescent="0.25"/>
    <row r="177" s="3" customFormat="1" x14ac:dyDescent="0.25"/>
    <row r="178" s="3" customFormat="1" x14ac:dyDescent="0.25"/>
    <row r="179" s="3" customFormat="1" x14ac:dyDescent="0.25"/>
    <row r="180" s="3" customFormat="1" x14ac:dyDescent="0.25"/>
    <row r="181" s="3" customFormat="1" x14ac:dyDescent="0.25"/>
    <row r="182" s="3" customFormat="1" x14ac:dyDescent="0.25"/>
    <row r="183" s="3" customFormat="1" x14ac:dyDescent="0.25"/>
    <row r="184" s="3" customFormat="1" x14ac:dyDescent="0.25"/>
    <row r="185" s="3" customFormat="1" x14ac:dyDescent="0.25"/>
    <row r="186" s="3" customFormat="1" x14ac:dyDescent="0.25"/>
    <row r="187" s="3" customFormat="1" x14ac:dyDescent="0.25"/>
    <row r="188" s="3" customFormat="1" x14ac:dyDescent="0.25"/>
    <row r="189" s="3" customFormat="1" x14ac:dyDescent="0.25"/>
    <row r="190" s="3" customFormat="1" x14ac:dyDescent="0.25"/>
    <row r="191" s="3" customFormat="1" x14ac:dyDescent="0.25"/>
    <row r="192" s="3" customFormat="1" x14ac:dyDescent="0.25"/>
    <row r="193" s="3" customFormat="1" x14ac:dyDescent="0.25"/>
    <row r="194" s="3" customFormat="1" x14ac:dyDescent="0.25"/>
    <row r="195" s="3" customFormat="1" x14ac:dyDescent="0.25"/>
    <row r="196" s="3" customFormat="1" x14ac:dyDescent="0.25"/>
    <row r="197" s="3" customFormat="1" x14ac:dyDescent="0.25"/>
    <row r="198" s="3" customFormat="1" x14ac:dyDescent="0.25"/>
    <row r="199" s="3" customFormat="1" x14ac:dyDescent="0.25"/>
    <row r="200" s="3" customFormat="1" x14ac:dyDescent="0.25"/>
    <row r="201" s="3" customFormat="1" x14ac:dyDescent="0.25"/>
    <row r="202" s="3" customFormat="1" x14ac:dyDescent="0.25"/>
    <row r="203" s="3" customFormat="1" x14ac:dyDescent="0.25"/>
    <row r="204" s="3" customFormat="1" x14ac:dyDescent="0.25"/>
    <row r="205" s="3" customFormat="1" x14ac:dyDescent="0.25"/>
    <row r="206" s="3" customFormat="1" x14ac:dyDescent="0.25"/>
    <row r="207" s="3" customFormat="1" x14ac:dyDescent="0.25"/>
    <row r="208" s="3" customFormat="1" x14ac:dyDescent="0.25"/>
    <row r="209" s="3" customFormat="1" x14ac:dyDescent="0.25"/>
    <row r="210" s="3" customFormat="1" x14ac:dyDescent="0.25"/>
    <row r="211" s="3" customFormat="1" x14ac:dyDescent="0.25"/>
    <row r="212" s="3" customFormat="1" x14ac:dyDescent="0.25"/>
    <row r="213" s="3" customFormat="1" x14ac:dyDescent="0.25"/>
    <row r="214" s="3" customFormat="1" x14ac:dyDescent="0.25"/>
    <row r="215" s="3" customFormat="1" x14ac:dyDescent="0.25"/>
    <row r="216" s="3" customFormat="1" x14ac:dyDescent="0.25"/>
    <row r="217" s="3" customFormat="1" x14ac:dyDescent="0.25"/>
    <row r="218" s="3" customFormat="1" x14ac:dyDescent="0.25"/>
    <row r="219" s="3" customFormat="1" x14ac:dyDescent="0.25"/>
    <row r="220" s="3" customFormat="1" x14ac:dyDescent="0.25"/>
    <row r="221" s="3" customFormat="1" x14ac:dyDescent="0.25"/>
    <row r="222" s="3" customFormat="1" x14ac:dyDescent="0.25"/>
    <row r="223" s="3" customFormat="1" x14ac:dyDescent="0.25"/>
    <row r="224" s="3" customFormat="1" x14ac:dyDescent="0.25"/>
    <row r="225" s="3" customFormat="1" x14ac:dyDescent="0.25"/>
    <row r="226" s="3" customFormat="1" x14ac:dyDescent="0.25"/>
    <row r="227" s="3" customFormat="1" x14ac:dyDescent="0.25"/>
    <row r="228" s="3" customFormat="1" x14ac:dyDescent="0.25"/>
    <row r="229" s="3" customFormat="1" x14ac:dyDescent="0.25"/>
    <row r="230" s="3" customFormat="1" x14ac:dyDescent="0.25"/>
    <row r="231" s="3" customFormat="1" x14ac:dyDescent="0.25"/>
    <row r="232" s="3" customFormat="1" x14ac:dyDescent="0.25"/>
    <row r="233" s="3" customFormat="1" x14ac:dyDescent="0.25"/>
    <row r="234" s="3" customFormat="1" x14ac:dyDescent="0.25"/>
  </sheetData>
  <autoFilter ref="A7:X7" xr:uid="{7CDCF3D4-1F0A-495B-835F-25268537E95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 Cash &amp; Cost Summary</vt:lpstr>
      <vt:lpstr>_EXPORT_JCOHEN06__TRANS_HIST_16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Cohen, Jason</dc:creator>
  <cp:lastModifiedBy>Reydman, Mina</cp:lastModifiedBy>
  <cp:lastPrinted>2025-11-21T20:28:00Z</cp:lastPrinted>
  <dcterms:created xsi:type="dcterms:W3CDTF">2025-09-22T12:57:25Z</dcterms:created>
  <dcterms:modified xsi:type="dcterms:W3CDTF">2025-11-24T15:47:29Z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f00cb3-7a5d-4674-b157-6d675423df49_Enabled">
    <vt:lpwstr>true</vt:lpwstr>
  </property>
  <property fmtid="{D5CDD505-2E9C-101B-9397-08002B2CF9AE}" pid="3" name="MSIP_Label_0cf00cb3-7a5d-4674-b157-6d675423df49_SetDate">
    <vt:lpwstr>2025-09-22T12:59:28Z</vt:lpwstr>
  </property>
  <property fmtid="{D5CDD505-2E9C-101B-9397-08002B2CF9AE}" pid="4" name="MSIP_Label_0cf00cb3-7a5d-4674-b157-6d675423df49_Method">
    <vt:lpwstr>Standard</vt:lpwstr>
  </property>
  <property fmtid="{D5CDD505-2E9C-101B-9397-08002B2CF9AE}" pid="5" name="MSIP_Label_0cf00cb3-7a5d-4674-b157-6d675423df49_Name">
    <vt:lpwstr>Internal</vt:lpwstr>
  </property>
  <property fmtid="{D5CDD505-2E9C-101B-9397-08002B2CF9AE}" pid="6" name="MSIP_Label_0cf00cb3-7a5d-4674-b157-6d675423df49_SiteId">
    <vt:lpwstr>ece76e02-a02b-4c4a-906d-98a34c5ce07a</vt:lpwstr>
  </property>
  <property fmtid="{D5CDD505-2E9C-101B-9397-08002B2CF9AE}" pid="7" name="MSIP_Label_0cf00cb3-7a5d-4674-b157-6d675423df49_ActionId">
    <vt:lpwstr>4a7de2af-a38f-425d-a252-956ae2646d7a</vt:lpwstr>
  </property>
  <property fmtid="{D5CDD505-2E9C-101B-9397-08002B2CF9AE}" pid="8" name="MSIP_Label_0cf00cb3-7a5d-4674-b157-6d675423df49_ContentBits">
    <vt:lpwstr>0</vt:lpwstr>
  </property>
  <property fmtid="{D5CDD505-2E9C-101B-9397-08002B2CF9AE}" pid="9" name="MSIP_Label_827c0209-0049-4fa3-802d-b18399cd3e3b_Enabled">
    <vt:lpwstr>true</vt:lpwstr>
  </property>
  <property fmtid="{D5CDD505-2E9C-101B-9397-08002B2CF9AE}" pid="10" name="MSIP_Label_827c0209-0049-4fa3-802d-b18399cd3e3b_SetDate">
    <vt:lpwstr>2025-11-18T23:02:52Z</vt:lpwstr>
  </property>
  <property fmtid="{D5CDD505-2E9C-101B-9397-08002B2CF9AE}" pid="11" name="MSIP_Label_827c0209-0049-4fa3-802d-b18399cd3e3b_Method">
    <vt:lpwstr>Standard</vt:lpwstr>
  </property>
  <property fmtid="{D5CDD505-2E9C-101B-9397-08002B2CF9AE}" pid="12" name="MSIP_Label_827c0209-0049-4fa3-802d-b18399cd3e3b_Name">
    <vt:lpwstr>Public - test</vt:lpwstr>
  </property>
  <property fmtid="{D5CDD505-2E9C-101B-9397-08002B2CF9AE}" pid="13" name="MSIP_Label_827c0209-0049-4fa3-802d-b18399cd3e3b_SiteId">
    <vt:lpwstr>296ae229-6f10-4f4a-a0d6-f390ed73d8e3</vt:lpwstr>
  </property>
  <property fmtid="{D5CDD505-2E9C-101B-9397-08002B2CF9AE}" pid="14" name="MSIP_Label_827c0209-0049-4fa3-802d-b18399cd3e3b_ActionId">
    <vt:lpwstr>43c7d471-ec1f-41c3-b075-fd992c13710f</vt:lpwstr>
  </property>
  <property fmtid="{D5CDD505-2E9C-101B-9397-08002B2CF9AE}" pid="15" name="MSIP_Label_827c0209-0049-4fa3-802d-b18399cd3e3b_ContentBits">
    <vt:lpwstr>0</vt:lpwstr>
  </property>
  <property fmtid="{D5CDD505-2E9C-101B-9397-08002B2CF9AE}" pid="16" name="MSIP_Label_827c0209-0049-4fa3-802d-b18399cd3e3b_Tag">
    <vt:lpwstr>10, 3, 0, 1</vt:lpwstr>
  </property>
</Properties>
</file>