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_ACCOUNT_SUMMARY" sheetId="3" state="visible" r:id="rId3"/>
    <sheet xmlns:r="http://schemas.openxmlformats.org/officeDocument/2006/relationships" name="INPUT_SECURITY_DETAIL" sheetId="4" state="visible" r:id="rId4"/>
    <sheet xmlns:r="http://schemas.openxmlformats.org/officeDocument/2006/relationships" name="ACCOUNT_ROLLUP" sheetId="5" state="visible" r:id="rId5"/>
    <sheet xmlns:r="http://schemas.openxmlformats.org/officeDocument/2006/relationships" name="HH_SUMMARY" sheetId="6" state="visible" r:id="rId6"/>
    <sheet xmlns:r="http://schemas.openxmlformats.org/officeDocument/2006/relationships" name="SECURITY_DRILL" sheetId="7" state="visible" r:id="rId7"/>
    <sheet xmlns:r="http://schemas.openxmlformats.org/officeDocument/2006/relationships" name="ACCOUNT_DRILL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Households" displayName="tblHouseholds" ref="A8:C28" headerRowCount="1">
  <autoFilter ref="A8:C28"/>
  <tableColumns count="3">
    <tableColumn id="1" name="Household_ID"/>
    <tableColumn id="2" name="Household_Name"/>
    <tableColumn id="3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Accounts" displayName="tblAccounts" ref="A32:G232" headerRowCount="1">
  <autoFilter ref="A32:G232"/>
  <tableColumns count="7">
    <tableColumn id="1" name="Include"/>
    <tableColumn id="2" name="Account_ID"/>
    <tableColumn id="3" name="Account_Name"/>
    <tableColumn id="4" name="Owner"/>
    <tableColumn id="5" name="Household_ID"/>
    <tableColumn id="6" name="Base_Currency"/>
    <tableColumn id="7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AcctSummary" displayName="tblAcctSummary" ref="A3:M2003" headerRowCount="1">
  <autoFilter ref="A3:M2003"/>
  <tableColumns count="13">
    <tableColumn id="1" name="Account_ID"/>
    <tableColumn id="2" name="Period_Start"/>
    <tableColumn id="3" name="Period_End"/>
    <tableColumn id="4" name="Begin_Balance_Base"/>
    <tableColumn id="5" name="End_Balance_Base"/>
    <tableColumn id="6" name="Net_Contrib_Base"/>
    <tableColumn id="7" name="Income_Interest_Base"/>
    <tableColumn id="8" name="Income_Dividends_Base"/>
    <tableColumn id="9" name="Income_Other_Base"/>
    <tableColumn id="10" name="Realized_GL_Base"/>
    <tableColumn id="11" name="Fees_Base"/>
    <tableColumn id="12" name="Taxes_Base"/>
    <tableColumn id="13" name="Return_Peri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SecDetail" displayName="tblSecDetail" ref="A3:L5003" headerRowCount="1">
  <autoFilter ref="A3:L5003"/>
  <tableColumns count="12">
    <tableColumn id="1" name="Account_ID"/>
    <tableColumn id="2" name="AsOfDate"/>
    <tableColumn id="3" name="Security_ID"/>
    <tableColumn id="4" name="Security_Name"/>
    <tableColumn id="5" name="Asset_Class"/>
    <tableColumn id="6" name="Currency"/>
    <tableColumn id="7" name="Market_Value_Base"/>
    <tableColumn id="8" name="Income_Interest_Base"/>
    <tableColumn id="9" name="Income_Dividends_Base"/>
    <tableColumn id="10" name="Income_Other_Base"/>
    <tableColumn id="11" name="Realized_GL_Base"/>
    <tableColumn id="12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Deliverable 2 — Household Aggregation Workbook (Read-Only Aggregation Layer)</t>
        </is>
      </c>
    </row>
    <row r="3">
      <c r="A3" s="2" t="inlineStr">
        <is>
          <t>Purpose</t>
        </is>
      </c>
    </row>
    <row r="4">
      <c r="A4" t="inlineStr">
        <is>
          <t>This workbook aggregates FINAL, accepted account-level outputs produced by Deliverable 1. It does NOT ingest raw transactions and does NOT perform ACB/FX/tax recomputation.</t>
        </is>
      </c>
    </row>
    <row r="6">
      <c r="A6" s="2" t="inlineStr">
        <is>
          <t>How to use (3 steps)</t>
        </is>
      </c>
    </row>
    <row r="7">
      <c r="A7" t="inlineStr">
        <is>
          <t>1) Fill in households + accounts on the 'CONFIG' sheet.</t>
        </is>
      </c>
    </row>
    <row r="8">
      <c r="A8" t="inlineStr">
        <is>
          <t>2) Paste or link account-level outputs into 'INPUT_ACCOUNT_SUMMARY' and (optionally) 'INPUT_SECURITY_DETAIL'.</t>
        </is>
      </c>
    </row>
    <row r="9">
      <c r="A9" t="inlineStr">
        <is>
          <t>3) Review household rollups on 'HH_SUMMARY' and drill-down via filters on 'ACCOUNT_ROLLUP' / 'INPUT_SECURITY_DETAIL'.</t>
        </is>
      </c>
    </row>
    <row r="11">
      <c r="A11" s="2" t="inlineStr">
        <is>
          <t>Reconciliation</t>
        </is>
      </c>
    </row>
    <row r="12">
      <c r="A12" t="inlineStr">
        <is>
          <t>See 'CHECKS' for pass/fail comparisons between household totals and summed account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8" customWidth="1" min="4" max="4"/>
    <col width="16" customWidth="1" min="5" max="5"/>
    <col width="14" customWidth="1" min="6" max="6"/>
    <col width="32" customWidth="1" min="7" max="7"/>
  </cols>
  <sheetData>
    <row r="1">
      <c r="A1" s="3" t="inlineStr">
        <is>
          <t>Configuration</t>
        </is>
      </c>
    </row>
    <row r="3">
      <c r="A3" t="inlineStr">
        <is>
          <t>Base Currency</t>
        </is>
      </c>
      <c r="B3" t="inlineStr">
        <is>
          <t>CAD</t>
        </is>
      </c>
    </row>
    <row r="4">
      <c r="A4" t="inlineStr">
        <is>
          <t>Period Start</t>
        </is>
      </c>
      <c r="B4" t="inlineStr">
        <is>
          <t>2025-01-01</t>
        </is>
      </c>
    </row>
    <row r="5">
      <c r="A5" t="inlineStr">
        <is>
          <t>Period End</t>
        </is>
      </c>
      <c r="B5" t="inlineStr">
        <is>
          <t>2025-12-31</t>
        </is>
      </c>
    </row>
    <row r="7">
      <c r="A7" s="2" t="inlineStr">
        <is>
          <t>Households (enter at least one)</t>
        </is>
      </c>
    </row>
    <row r="8">
      <c r="A8" s="4" t="inlineStr">
        <is>
          <t>Household_ID</t>
        </is>
      </c>
      <c r="B8" s="4" t="inlineStr">
        <is>
          <t>Household_Name</t>
        </is>
      </c>
      <c r="C8" s="4" t="inlineStr">
        <is>
          <t>Notes</t>
        </is>
      </c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31">
      <c r="A31" s="2" t="inlineStr">
        <is>
          <t>Accounts (enter each account to be aggregated)</t>
        </is>
      </c>
    </row>
    <row r="32">
      <c r="A32" s="4" t="inlineStr">
        <is>
          <t>Include</t>
        </is>
      </c>
      <c r="B32" s="4" t="inlineStr">
        <is>
          <t>Account_ID</t>
        </is>
      </c>
      <c r="C32" s="4" t="inlineStr">
        <is>
          <t>Account_Name</t>
        </is>
      </c>
      <c r="D32" s="4" t="inlineStr">
        <is>
          <t>Owner</t>
        </is>
      </c>
      <c r="E32" s="4" t="inlineStr">
        <is>
          <t>Household_ID</t>
        </is>
      </c>
      <c r="F32" s="4" t="inlineStr">
        <is>
          <t>Base_Currency</t>
        </is>
      </c>
      <c r="G32" s="4" t="inlineStr">
        <is>
          <t>Notes</t>
        </is>
      </c>
    </row>
    <row r="33">
      <c r="A33" s="5" t="b">
        <v>1</v>
      </c>
      <c r="B33" s="5" t="n"/>
      <c r="C33" s="5" t="n"/>
      <c r="D33" s="5" t="n"/>
      <c r="E33" s="5" t="n"/>
      <c r="F33" s="5" t="n"/>
      <c r="G33" s="5" t="n"/>
    </row>
    <row r="34">
      <c r="A34" s="5" t="b">
        <v>1</v>
      </c>
      <c r="B34" s="5" t="n"/>
      <c r="C34" s="5" t="n"/>
      <c r="D34" s="5" t="n"/>
      <c r="E34" s="5" t="n"/>
      <c r="F34" s="5" t="n"/>
      <c r="G34" s="5" t="n"/>
    </row>
    <row r="35">
      <c r="A35" s="5" t="b">
        <v>1</v>
      </c>
      <c r="B35" s="5" t="n"/>
      <c r="C35" s="5" t="n"/>
      <c r="D35" s="5" t="n"/>
      <c r="E35" s="5" t="n"/>
      <c r="F35" s="5" t="n"/>
      <c r="G35" s="5" t="n"/>
    </row>
    <row r="36">
      <c r="A36" s="5" t="b">
        <v>1</v>
      </c>
      <c r="B36" s="5" t="n"/>
      <c r="C36" s="5" t="n"/>
      <c r="D36" s="5" t="n"/>
      <c r="E36" s="5" t="n"/>
      <c r="F36" s="5" t="n"/>
      <c r="G36" s="5" t="n"/>
    </row>
    <row r="37">
      <c r="A37" s="5" t="b">
        <v>1</v>
      </c>
      <c r="B37" s="5" t="n"/>
      <c r="C37" s="5" t="n"/>
      <c r="D37" s="5" t="n"/>
      <c r="E37" s="5" t="n"/>
      <c r="F37" s="5" t="n"/>
      <c r="G37" s="5" t="n"/>
    </row>
    <row r="38">
      <c r="A38" s="5" t="b">
        <v>1</v>
      </c>
      <c r="B38" s="5" t="n"/>
      <c r="C38" s="5" t="n"/>
      <c r="D38" s="5" t="n"/>
      <c r="E38" s="5" t="n"/>
      <c r="F38" s="5" t="n"/>
      <c r="G38" s="5" t="n"/>
    </row>
    <row r="39">
      <c r="A39" s="5" t="b">
        <v>1</v>
      </c>
      <c r="B39" s="5" t="n"/>
      <c r="C39" s="5" t="n"/>
      <c r="D39" s="5" t="n"/>
      <c r="E39" s="5" t="n"/>
      <c r="F39" s="5" t="n"/>
      <c r="G39" s="5" t="n"/>
    </row>
    <row r="40">
      <c r="A40" s="5" t="b">
        <v>1</v>
      </c>
      <c r="B40" s="5" t="n"/>
      <c r="C40" s="5" t="n"/>
      <c r="D40" s="5" t="n"/>
      <c r="E40" s="5" t="n"/>
      <c r="F40" s="5" t="n"/>
      <c r="G40" s="5" t="n"/>
    </row>
    <row r="41">
      <c r="A41" s="5" t="b">
        <v>1</v>
      </c>
      <c r="B41" s="5" t="n"/>
      <c r="C41" s="5" t="n"/>
      <c r="D41" s="5" t="n"/>
      <c r="E41" s="5" t="n"/>
      <c r="F41" s="5" t="n"/>
      <c r="G41" s="5" t="n"/>
    </row>
    <row r="42">
      <c r="A42" s="5" t="b">
        <v>1</v>
      </c>
      <c r="B42" s="5" t="n"/>
      <c r="C42" s="5" t="n"/>
      <c r="D42" s="5" t="n"/>
      <c r="E42" s="5" t="n"/>
      <c r="F42" s="5" t="n"/>
      <c r="G42" s="5" t="n"/>
    </row>
    <row r="43">
      <c r="A43" s="5" t="b">
        <v>1</v>
      </c>
      <c r="B43" s="5" t="n"/>
      <c r="C43" s="5" t="n"/>
      <c r="D43" s="5" t="n"/>
      <c r="E43" s="5" t="n"/>
      <c r="F43" s="5" t="n"/>
      <c r="G43" s="5" t="n"/>
    </row>
    <row r="44">
      <c r="A44" s="5" t="b">
        <v>1</v>
      </c>
      <c r="B44" s="5" t="n"/>
      <c r="C44" s="5" t="n"/>
      <c r="D44" s="5" t="n"/>
      <c r="E44" s="5" t="n"/>
      <c r="F44" s="5" t="n"/>
      <c r="G44" s="5" t="n"/>
    </row>
    <row r="45">
      <c r="A45" s="5" t="b">
        <v>1</v>
      </c>
      <c r="B45" s="5" t="n"/>
      <c r="C45" s="5" t="n"/>
      <c r="D45" s="5" t="n"/>
      <c r="E45" s="5" t="n"/>
      <c r="F45" s="5" t="n"/>
      <c r="G45" s="5" t="n"/>
    </row>
    <row r="46">
      <c r="A46" s="5" t="b">
        <v>1</v>
      </c>
      <c r="B46" s="5" t="n"/>
      <c r="C46" s="5" t="n"/>
      <c r="D46" s="5" t="n"/>
      <c r="E46" s="5" t="n"/>
      <c r="F46" s="5" t="n"/>
      <c r="G46" s="5" t="n"/>
    </row>
    <row r="47">
      <c r="A47" s="5" t="b">
        <v>1</v>
      </c>
      <c r="B47" s="5" t="n"/>
      <c r="C47" s="5" t="n"/>
      <c r="D47" s="5" t="n"/>
      <c r="E47" s="5" t="n"/>
      <c r="F47" s="5" t="n"/>
      <c r="G47" s="5" t="n"/>
    </row>
    <row r="48">
      <c r="A48" s="5" t="b">
        <v>1</v>
      </c>
      <c r="B48" s="5" t="n"/>
      <c r="C48" s="5" t="n"/>
      <c r="D48" s="5" t="n"/>
      <c r="E48" s="5" t="n"/>
      <c r="F48" s="5" t="n"/>
      <c r="G48" s="5" t="n"/>
    </row>
    <row r="49">
      <c r="A49" s="5" t="b">
        <v>1</v>
      </c>
      <c r="B49" s="5" t="n"/>
      <c r="C49" s="5" t="n"/>
      <c r="D49" s="5" t="n"/>
      <c r="E49" s="5" t="n"/>
      <c r="F49" s="5" t="n"/>
      <c r="G49" s="5" t="n"/>
    </row>
    <row r="50">
      <c r="A50" s="5" t="b">
        <v>1</v>
      </c>
      <c r="B50" s="5" t="n"/>
      <c r="C50" s="5" t="n"/>
      <c r="D50" s="5" t="n"/>
      <c r="E50" s="5" t="n"/>
      <c r="F50" s="5" t="n"/>
      <c r="G50" s="5" t="n"/>
    </row>
    <row r="51">
      <c r="A51" s="5" t="b">
        <v>1</v>
      </c>
      <c r="B51" s="5" t="n"/>
      <c r="C51" s="5" t="n"/>
      <c r="D51" s="5" t="n"/>
      <c r="E51" s="5" t="n"/>
      <c r="F51" s="5" t="n"/>
      <c r="G51" s="5" t="n"/>
    </row>
    <row r="52">
      <c r="A52" s="5" t="b">
        <v>1</v>
      </c>
      <c r="B52" s="5" t="n"/>
      <c r="C52" s="5" t="n"/>
      <c r="D52" s="5" t="n"/>
      <c r="E52" s="5" t="n"/>
      <c r="F52" s="5" t="n"/>
      <c r="G52" s="5" t="n"/>
    </row>
    <row r="53">
      <c r="A53" s="5" t="b">
        <v>1</v>
      </c>
      <c r="B53" s="5" t="n"/>
      <c r="C53" s="5" t="n"/>
      <c r="D53" s="5" t="n"/>
      <c r="E53" s="5" t="n"/>
      <c r="F53" s="5" t="n"/>
      <c r="G53" s="5" t="n"/>
    </row>
    <row r="54">
      <c r="A54" s="5" t="b">
        <v>1</v>
      </c>
      <c r="B54" s="5" t="n"/>
      <c r="C54" s="5" t="n"/>
      <c r="D54" s="5" t="n"/>
      <c r="E54" s="5" t="n"/>
      <c r="F54" s="5" t="n"/>
      <c r="G54" s="5" t="n"/>
    </row>
    <row r="55">
      <c r="A55" s="5" t="b">
        <v>1</v>
      </c>
      <c r="B55" s="5" t="n"/>
      <c r="C55" s="5" t="n"/>
      <c r="D55" s="5" t="n"/>
      <c r="E55" s="5" t="n"/>
      <c r="F55" s="5" t="n"/>
      <c r="G55" s="5" t="n"/>
    </row>
    <row r="56">
      <c r="A56" s="5" t="b">
        <v>1</v>
      </c>
      <c r="B56" s="5" t="n"/>
      <c r="C56" s="5" t="n"/>
      <c r="D56" s="5" t="n"/>
      <c r="E56" s="5" t="n"/>
      <c r="F56" s="5" t="n"/>
      <c r="G56" s="5" t="n"/>
    </row>
    <row r="57">
      <c r="A57" s="5" t="b">
        <v>1</v>
      </c>
      <c r="B57" s="5" t="n"/>
      <c r="C57" s="5" t="n"/>
      <c r="D57" s="5" t="n"/>
      <c r="E57" s="5" t="n"/>
      <c r="F57" s="5" t="n"/>
      <c r="G57" s="5" t="n"/>
    </row>
    <row r="58">
      <c r="A58" s="5" t="b">
        <v>1</v>
      </c>
      <c r="B58" s="5" t="n"/>
      <c r="C58" s="5" t="n"/>
      <c r="D58" s="5" t="n"/>
      <c r="E58" s="5" t="n"/>
      <c r="F58" s="5" t="n"/>
      <c r="G58" s="5" t="n"/>
    </row>
    <row r="59">
      <c r="A59" s="5" t="b">
        <v>1</v>
      </c>
      <c r="B59" s="5" t="n"/>
      <c r="C59" s="5" t="n"/>
      <c r="D59" s="5" t="n"/>
      <c r="E59" s="5" t="n"/>
      <c r="F59" s="5" t="n"/>
      <c r="G59" s="5" t="n"/>
    </row>
    <row r="60">
      <c r="A60" s="5" t="b">
        <v>1</v>
      </c>
      <c r="B60" s="5" t="n"/>
      <c r="C60" s="5" t="n"/>
      <c r="D60" s="5" t="n"/>
      <c r="E60" s="5" t="n"/>
      <c r="F60" s="5" t="n"/>
      <c r="G60" s="5" t="n"/>
    </row>
    <row r="61">
      <c r="A61" s="5" t="b">
        <v>1</v>
      </c>
      <c r="B61" s="5" t="n"/>
      <c r="C61" s="5" t="n"/>
      <c r="D61" s="5" t="n"/>
      <c r="E61" s="5" t="n"/>
      <c r="F61" s="5" t="n"/>
      <c r="G61" s="5" t="n"/>
    </row>
    <row r="62">
      <c r="A62" s="5" t="b">
        <v>1</v>
      </c>
      <c r="B62" s="5" t="n"/>
      <c r="C62" s="5" t="n"/>
      <c r="D62" s="5" t="n"/>
      <c r="E62" s="5" t="n"/>
      <c r="F62" s="5" t="n"/>
      <c r="G62" s="5" t="n"/>
    </row>
    <row r="63">
      <c r="A63" s="5" t="b">
        <v>1</v>
      </c>
      <c r="B63" s="5" t="n"/>
      <c r="C63" s="5" t="n"/>
      <c r="D63" s="5" t="n"/>
      <c r="E63" s="5" t="n"/>
      <c r="F63" s="5" t="n"/>
      <c r="G63" s="5" t="n"/>
    </row>
    <row r="64">
      <c r="A64" s="5" t="b">
        <v>1</v>
      </c>
      <c r="B64" s="5" t="n"/>
      <c r="C64" s="5" t="n"/>
      <c r="D64" s="5" t="n"/>
      <c r="E64" s="5" t="n"/>
      <c r="F64" s="5" t="n"/>
      <c r="G64" s="5" t="n"/>
    </row>
    <row r="65">
      <c r="A65" s="5" t="b">
        <v>1</v>
      </c>
      <c r="B65" s="5" t="n"/>
      <c r="C65" s="5" t="n"/>
      <c r="D65" s="5" t="n"/>
      <c r="E65" s="5" t="n"/>
      <c r="F65" s="5" t="n"/>
      <c r="G65" s="5" t="n"/>
    </row>
    <row r="66">
      <c r="A66" s="5" t="b">
        <v>1</v>
      </c>
      <c r="B66" s="5" t="n"/>
      <c r="C66" s="5" t="n"/>
      <c r="D66" s="5" t="n"/>
      <c r="E66" s="5" t="n"/>
      <c r="F66" s="5" t="n"/>
      <c r="G66" s="5" t="n"/>
    </row>
    <row r="67">
      <c r="A67" s="5" t="b">
        <v>1</v>
      </c>
      <c r="B67" s="5" t="n"/>
      <c r="C67" s="5" t="n"/>
      <c r="D67" s="5" t="n"/>
      <c r="E67" s="5" t="n"/>
      <c r="F67" s="5" t="n"/>
      <c r="G67" s="5" t="n"/>
    </row>
    <row r="68">
      <c r="A68" s="5" t="b">
        <v>1</v>
      </c>
      <c r="B68" s="5" t="n"/>
      <c r="C68" s="5" t="n"/>
      <c r="D68" s="5" t="n"/>
      <c r="E68" s="5" t="n"/>
      <c r="F68" s="5" t="n"/>
      <c r="G68" s="5" t="n"/>
    </row>
    <row r="69">
      <c r="A69" s="5" t="b">
        <v>1</v>
      </c>
      <c r="B69" s="5" t="n"/>
      <c r="C69" s="5" t="n"/>
      <c r="D69" s="5" t="n"/>
      <c r="E69" s="5" t="n"/>
      <c r="F69" s="5" t="n"/>
      <c r="G69" s="5" t="n"/>
    </row>
    <row r="70">
      <c r="A70" s="5" t="b">
        <v>1</v>
      </c>
      <c r="B70" s="5" t="n"/>
      <c r="C70" s="5" t="n"/>
      <c r="D70" s="5" t="n"/>
      <c r="E70" s="5" t="n"/>
      <c r="F70" s="5" t="n"/>
      <c r="G70" s="5" t="n"/>
    </row>
    <row r="71">
      <c r="A71" s="5" t="b">
        <v>1</v>
      </c>
      <c r="B71" s="5" t="n"/>
      <c r="C71" s="5" t="n"/>
      <c r="D71" s="5" t="n"/>
      <c r="E71" s="5" t="n"/>
      <c r="F71" s="5" t="n"/>
      <c r="G71" s="5" t="n"/>
    </row>
    <row r="72">
      <c r="A72" s="5" t="b">
        <v>1</v>
      </c>
      <c r="B72" s="5" t="n"/>
      <c r="C72" s="5" t="n"/>
      <c r="D72" s="5" t="n"/>
      <c r="E72" s="5" t="n"/>
      <c r="F72" s="5" t="n"/>
      <c r="G72" s="5" t="n"/>
    </row>
    <row r="73">
      <c r="A73" s="5" t="b">
        <v>1</v>
      </c>
      <c r="B73" s="5" t="n"/>
      <c r="C73" s="5" t="n"/>
      <c r="D73" s="5" t="n"/>
      <c r="E73" s="5" t="n"/>
      <c r="F73" s="5" t="n"/>
      <c r="G73" s="5" t="n"/>
    </row>
    <row r="74">
      <c r="A74" s="5" t="b">
        <v>1</v>
      </c>
      <c r="B74" s="5" t="n"/>
      <c r="C74" s="5" t="n"/>
      <c r="D74" s="5" t="n"/>
      <c r="E74" s="5" t="n"/>
      <c r="F74" s="5" t="n"/>
      <c r="G74" s="5" t="n"/>
    </row>
    <row r="75">
      <c r="A75" s="5" t="b">
        <v>1</v>
      </c>
      <c r="B75" s="5" t="n"/>
      <c r="C75" s="5" t="n"/>
      <c r="D75" s="5" t="n"/>
      <c r="E75" s="5" t="n"/>
      <c r="F75" s="5" t="n"/>
      <c r="G75" s="5" t="n"/>
    </row>
    <row r="76">
      <c r="A76" s="5" t="b">
        <v>1</v>
      </c>
      <c r="B76" s="5" t="n"/>
      <c r="C76" s="5" t="n"/>
      <c r="D76" s="5" t="n"/>
      <c r="E76" s="5" t="n"/>
      <c r="F76" s="5" t="n"/>
      <c r="G76" s="5" t="n"/>
    </row>
    <row r="77">
      <c r="A77" s="5" t="b">
        <v>1</v>
      </c>
      <c r="B77" s="5" t="n"/>
      <c r="C77" s="5" t="n"/>
      <c r="D77" s="5" t="n"/>
      <c r="E77" s="5" t="n"/>
      <c r="F77" s="5" t="n"/>
      <c r="G77" s="5" t="n"/>
    </row>
    <row r="78">
      <c r="A78" s="5" t="b">
        <v>1</v>
      </c>
      <c r="B78" s="5" t="n"/>
      <c r="C78" s="5" t="n"/>
      <c r="D78" s="5" t="n"/>
      <c r="E78" s="5" t="n"/>
      <c r="F78" s="5" t="n"/>
      <c r="G78" s="5" t="n"/>
    </row>
    <row r="79">
      <c r="A79" s="5" t="b">
        <v>1</v>
      </c>
      <c r="B79" s="5" t="n"/>
      <c r="C79" s="5" t="n"/>
      <c r="D79" s="5" t="n"/>
      <c r="E79" s="5" t="n"/>
      <c r="F79" s="5" t="n"/>
      <c r="G79" s="5" t="n"/>
    </row>
    <row r="80">
      <c r="A80" s="5" t="b">
        <v>1</v>
      </c>
      <c r="B80" s="5" t="n"/>
      <c r="C80" s="5" t="n"/>
      <c r="D80" s="5" t="n"/>
      <c r="E80" s="5" t="n"/>
      <c r="F80" s="5" t="n"/>
      <c r="G80" s="5" t="n"/>
    </row>
    <row r="81">
      <c r="A81" s="5" t="b">
        <v>1</v>
      </c>
      <c r="B81" s="5" t="n"/>
      <c r="C81" s="5" t="n"/>
      <c r="D81" s="5" t="n"/>
      <c r="E81" s="5" t="n"/>
      <c r="F81" s="5" t="n"/>
      <c r="G81" s="5" t="n"/>
    </row>
    <row r="82">
      <c r="A82" s="5" t="b">
        <v>1</v>
      </c>
      <c r="B82" s="5" t="n"/>
      <c r="C82" s="5" t="n"/>
      <c r="D82" s="5" t="n"/>
      <c r="E82" s="5" t="n"/>
      <c r="F82" s="5" t="n"/>
      <c r="G82" s="5" t="n"/>
    </row>
    <row r="83">
      <c r="A83" s="5" t="b">
        <v>1</v>
      </c>
      <c r="B83" s="5" t="n"/>
      <c r="C83" s="5" t="n"/>
      <c r="D83" s="5" t="n"/>
      <c r="E83" s="5" t="n"/>
      <c r="F83" s="5" t="n"/>
      <c r="G83" s="5" t="n"/>
    </row>
    <row r="84">
      <c r="A84" s="5" t="b">
        <v>1</v>
      </c>
      <c r="B84" s="5" t="n"/>
      <c r="C84" s="5" t="n"/>
      <c r="D84" s="5" t="n"/>
      <c r="E84" s="5" t="n"/>
      <c r="F84" s="5" t="n"/>
      <c r="G84" s="5" t="n"/>
    </row>
    <row r="85">
      <c r="A85" s="5" t="b">
        <v>1</v>
      </c>
      <c r="B85" s="5" t="n"/>
      <c r="C85" s="5" t="n"/>
      <c r="D85" s="5" t="n"/>
      <c r="E85" s="5" t="n"/>
      <c r="F85" s="5" t="n"/>
      <c r="G85" s="5" t="n"/>
    </row>
    <row r="86">
      <c r="A86" s="5" t="b">
        <v>1</v>
      </c>
      <c r="B86" s="5" t="n"/>
      <c r="C86" s="5" t="n"/>
      <c r="D86" s="5" t="n"/>
      <c r="E86" s="5" t="n"/>
      <c r="F86" s="5" t="n"/>
      <c r="G86" s="5" t="n"/>
    </row>
    <row r="87">
      <c r="A87" s="5" t="b">
        <v>1</v>
      </c>
      <c r="B87" s="5" t="n"/>
      <c r="C87" s="5" t="n"/>
      <c r="D87" s="5" t="n"/>
      <c r="E87" s="5" t="n"/>
      <c r="F87" s="5" t="n"/>
      <c r="G87" s="5" t="n"/>
    </row>
    <row r="88">
      <c r="A88" s="5" t="b">
        <v>1</v>
      </c>
      <c r="B88" s="5" t="n"/>
      <c r="C88" s="5" t="n"/>
      <c r="D88" s="5" t="n"/>
      <c r="E88" s="5" t="n"/>
      <c r="F88" s="5" t="n"/>
      <c r="G88" s="5" t="n"/>
    </row>
    <row r="89">
      <c r="A89" s="5" t="b">
        <v>1</v>
      </c>
      <c r="B89" s="5" t="n"/>
      <c r="C89" s="5" t="n"/>
      <c r="D89" s="5" t="n"/>
      <c r="E89" s="5" t="n"/>
      <c r="F89" s="5" t="n"/>
      <c r="G89" s="5" t="n"/>
    </row>
    <row r="90">
      <c r="A90" s="5" t="b">
        <v>1</v>
      </c>
      <c r="B90" s="5" t="n"/>
      <c r="C90" s="5" t="n"/>
      <c r="D90" s="5" t="n"/>
      <c r="E90" s="5" t="n"/>
      <c r="F90" s="5" t="n"/>
      <c r="G90" s="5" t="n"/>
    </row>
    <row r="91">
      <c r="A91" s="5" t="b">
        <v>1</v>
      </c>
      <c r="B91" s="5" t="n"/>
      <c r="C91" s="5" t="n"/>
      <c r="D91" s="5" t="n"/>
      <c r="E91" s="5" t="n"/>
      <c r="F91" s="5" t="n"/>
      <c r="G91" s="5" t="n"/>
    </row>
    <row r="92">
      <c r="A92" s="5" t="b">
        <v>1</v>
      </c>
      <c r="B92" s="5" t="n"/>
      <c r="C92" s="5" t="n"/>
      <c r="D92" s="5" t="n"/>
      <c r="E92" s="5" t="n"/>
      <c r="F92" s="5" t="n"/>
      <c r="G92" s="5" t="n"/>
    </row>
    <row r="93">
      <c r="A93" s="5" t="b">
        <v>1</v>
      </c>
      <c r="B93" s="5" t="n"/>
      <c r="C93" s="5" t="n"/>
      <c r="D93" s="5" t="n"/>
      <c r="E93" s="5" t="n"/>
      <c r="F93" s="5" t="n"/>
      <c r="G93" s="5" t="n"/>
    </row>
    <row r="94">
      <c r="A94" s="5" t="b">
        <v>1</v>
      </c>
      <c r="B94" s="5" t="n"/>
      <c r="C94" s="5" t="n"/>
      <c r="D94" s="5" t="n"/>
      <c r="E94" s="5" t="n"/>
      <c r="F94" s="5" t="n"/>
      <c r="G94" s="5" t="n"/>
    </row>
    <row r="95">
      <c r="A95" s="5" t="b">
        <v>1</v>
      </c>
      <c r="B95" s="5" t="n"/>
      <c r="C95" s="5" t="n"/>
      <c r="D95" s="5" t="n"/>
      <c r="E95" s="5" t="n"/>
      <c r="F95" s="5" t="n"/>
      <c r="G95" s="5" t="n"/>
    </row>
    <row r="96">
      <c r="A96" s="5" t="b">
        <v>1</v>
      </c>
      <c r="B96" s="5" t="n"/>
      <c r="C96" s="5" t="n"/>
      <c r="D96" s="5" t="n"/>
      <c r="E96" s="5" t="n"/>
      <c r="F96" s="5" t="n"/>
      <c r="G96" s="5" t="n"/>
    </row>
    <row r="97">
      <c r="A97" s="5" t="b">
        <v>1</v>
      </c>
      <c r="B97" s="5" t="n"/>
      <c r="C97" s="5" t="n"/>
      <c r="D97" s="5" t="n"/>
      <c r="E97" s="5" t="n"/>
      <c r="F97" s="5" t="n"/>
      <c r="G97" s="5" t="n"/>
    </row>
    <row r="98">
      <c r="A98" s="5" t="b">
        <v>1</v>
      </c>
      <c r="B98" s="5" t="n"/>
      <c r="C98" s="5" t="n"/>
      <c r="D98" s="5" t="n"/>
      <c r="E98" s="5" t="n"/>
      <c r="F98" s="5" t="n"/>
      <c r="G98" s="5" t="n"/>
    </row>
    <row r="99">
      <c r="A99" s="5" t="b">
        <v>1</v>
      </c>
      <c r="B99" s="5" t="n"/>
      <c r="C99" s="5" t="n"/>
      <c r="D99" s="5" t="n"/>
      <c r="E99" s="5" t="n"/>
      <c r="F99" s="5" t="n"/>
      <c r="G99" s="5" t="n"/>
    </row>
    <row r="100">
      <c r="A100" s="5" t="b">
        <v>1</v>
      </c>
      <c r="B100" s="5" t="n"/>
      <c r="C100" s="5" t="n"/>
      <c r="D100" s="5" t="n"/>
      <c r="E100" s="5" t="n"/>
      <c r="F100" s="5" t="n"/>
      <c r="G100" s="5" t="n"/>
    </row>
    <row r="101">
      <c r="A101" s="5" t="b">
        <v>1</v>
      </c>
      <c r="B101" s="5" t="n"/>
      <c r="C101" s="5" t="n"/>
      <c r="D101" s="5" t="n"/>
      <c r="E101" s="5" t="n"/>
      <c r="F101" s="5" t="n"/>
      <c r="G101" s="5" t="n"/>
    </row>
    <row r="102">
      <c r="A102" s="5" t="b">
        <v>1</v>
      </c>
      <c r="B102" s="5" t="n"/>
      <c r="C102" s="5" t="n"/>
      <c r="D102" s="5" t="n"/>
      <c r="E102" s="5" t="n"/>
      <c r="F102" s="5" t="n"/>
      <c r="G102" s="5" t="n"/>
    </row>
    <row r="103">
      <c r="A103" s="5" t="b">
        <v>1</v>
      </c>
      <c r="B103" s="5" t="n"/>
      <c r="C103" s="5" t="n"/>
      <c r="D103" s="5" t="n"/>
      <c r="E103" s="5" t="n"/>
      <c r="F103" s="5" t="n"/>
      <c r="G103" s="5" t="n"/>
    </row>
    <row r="104">
      <c r="A104" s="5" t="b">
        <v>1</v>
      </c>
      <c r="B104" s="5" t="n"/>
      <c r="C104" s="5" t="n"/>
      <c r="D104" s="5" t="n"/>
      <c r="E104" s="5" t="n"/>
      <c r="F104" s="5" t="n"/>
      <c r="G104" s="5" t="n"/>
    </row>
    <row r="105">
      <c r="A105" s="5" t="b">
        <v>1</v>
      </c>
      <c r="B105" s="5" t="n"/>
      <c r="C105" s="5" t="n"/>
      <c r="D105" s="5" t="n"/>
      <c r="E105" s="5" t="n"/>
      <c r="F105" s="5" t="n"/>
      <c r="G105" s="5" t="n"/>
    </row>
    <row r="106">
      <c r="A106" s="5" t="b">
        <v>1</v>
      </c>
      <c r="B106" s="5" t="n"/>
      <c r="C106" s="5" t="n"/>
      <c r="D106" s="5" t="n"/>
      <c r="E106" s="5" t="n"/>
      <c r="F106" s="5" t="n"/>
      <c r="G106" s="5" t="n"/>
    </row>
    <row r="107">
      <c r="A107" s="5" t="b">
        <v>1</v>
      </c>
      <c r="B107" s="5" t="n"/>
      <c r="C107" s="5" t="n"/>
      <c r="D107" s="5" t="n"/>
      <c r="E107" s="5" t="n"/>
      <c r="F107" s="5" t="n"/>
      <c r="G107" s="5" t="n"/>
    </row>
    <row r="108">
      <c r="A108" s="5" t="b">
        <v>1</v>
      </c>
      <c r="B108" s="5" t="n"/>
      <c r="C108" s="5" t="n"/>
      <c r="D108" s="5" t="n"/>
      <c r="E108" s="5" t="n"/>
      <c r="F108" s="5" t="n"/>
      <c r="G108" s="5" t="n"/>
    </row>
    <row r="109">
      <c r="A109" s="5" t="b">
        <v>1</v>
      </c>
      <c r="B109" s="5" t="n"/>
      <c r="C109" s="5" t="n"/>
      <c r="D109" s="5" t="n"/>
      <c r="E109" s="5" t="n"/>
      <c r="F109" s="5" t="n"/>
      <c r="G109" s="5" t="n"/>
    </row>
    <row r="110">
      <c r="A110" s="5" t="b">
        <v>1</v>
      </c>
      <c r="B110" s="5" t="n"/>
      <c r="C110" s="5" t="n"/>
      <c r="D110" s="5" t="n"/>
      <c r="E110" s="5" t="n"/>
      <c r="F110" s="5" t="n"/>
      <c r="G110" s="5" t="n"/>
    </row>
    <row r="111">
      <c r="A111" s="5" t="b">
        <v>1</v>
      </c>
      <c r="B111" s="5" t="n"/>
      <c r="C111" s="5" t="n"/>
      <c r="D111" s="5" t="n"/>
      <c r="E111" s="5" t="n"/>
      <c r="F111" s="5" t="n"/>
      <c r="G111" s="5" t="n"/>
    </row>
    <row r="112">
      <c r="A112" s="5" t="b">
        <v>1</v>
      </c>
      <c r="B112" s="5" t="n"/>
      <c r="C112" s="5" t="n"/>
      <c r="D112" s="5" t="n"/>
      <c r="E112" s="5" t="n"/>
      <c r="F112" s="5" t="n"/>
      <c r="G112" s="5" t="n"/>
    </row>
    <row r="113">
      <c r="A113" s="5" t="b">
        <v>1</v>
      </c>
      <c r="B113" s="5" t="n"/>
      <c r="C113" s="5" t="n"/>
      <c r="D113" s="5" t="n"/>
      <c r="E113" s="5" t="n"/>
      <c r="F113" s="5" t="n"/>
      <c r="G113" s="5" t="n"/>
    </row>
    <row r="114">
      <c r="A114" s="5" t="b">
        <v>1</v>
      </c>
      <c r="B114" s="5" t="n"/>
      <c r="C114" s="5" t="n"/>
      <c r="D114" s="5" t="n"/>
      <c r="E114" s="5" t="n"/>
      <c r="F114" s="5" t="n"/>
      <c r="G114" s="5" t="n"/>
    </row>
    <row r="115">
      <c r="A115" s="5" t="b">
        <v>1</v>
      </c>
      <c r="B115" s="5" t="n"/>
      <c r="C115" s="5" t="n"/>
      <c r="D115" s="5" t="n"/>
      <c r="E115" s="5" t="n"/>
      <c r="F115" s="5" t="n"/>
      <c r="G115" s="5" t="n"/>
    </row>
    <row r="116">
      <c r="A116" s="5" t="b">
        <v>1</v>
      </c>
      <c r="B116" s="5" t="n"/>
      <c r="C116" s="5" t="n"/>
      <c r="D116" s="5" t="n"/>
      <c r="E116" s="5" t="n"/>
      <c r="F116" s="5" t="n"/>
      <c r="G116" s="5" t="n"/>
    </row>
    <row r="117">
      <c r="A117" s="5" t="b">
        <v>1</v>
      </c>
      <c r="B117" s="5" t="n"/>
      <c r="C117" s="5" t="n"/>
      <c r="D117" s="5" t="n"/>
      <c r="E117" s="5" t="n"/>
      <c r="F117" s="5" t="n"/>
      <c r="G117" s="5" t="n"/>
    </row>
    <row r="118">
      <c r="A118" s="5" t="b">
        <v>1</v>
      </c>
      <c r="B118" s="5" t="n"/>
      <c r="C118" s="5" t="n"/>
      <c r="D118" s="5" t="n"/>
      <c r="E118" s="5" t="n"/>
      <c r="F118" s="5" t="n"/>
      <c r="G118" s="5" t="n"/>
    </row>
    <row r="119">
      <c r="A119" s="5" t="b">
        <v>1</v>
      </c>
      <c r="B119" s="5" t="n"/>
      <c r="C119" s="5" t="n"/>
      <c r="D119" s="5" t="n"/>
      <c r="E119" s="5" t="n"/>
      <c r="F119" s="5" t="n"/>
      <c r="G119" s="5" t="n"/>
    </row>
    <row r="120">
      <c r="A120" s="5" t="b">
        <v>1</v>
      </c>
      <c r="B120" s="5" t="n"/>
      <c r="C120" s="5" t="n"/>
      <c r="D120" s="5" t="n"/>
      <c r="E120" s="5" t="n"/>
      <c r="F120" s="5" t="n"/>
      <c r="G120" s="5" t="n"/>
    </row>
    <row r="121">
      <c r="A121" s="5" t="b">
        <v>1</v>
      </c>
      <c r="B121" s="5" t="n"/>
      <c r="C121" s="5" t="n"/>
      <c r="D121" s="5" t="n"/>
      <c r="E121" s="5" t="n"/>
      <c r="F121" s="5" t="n"/>
      <c r="G121" s="5" t="n"/>
    </row>
    <row r="122">
      <c r="A122" s="5" t="b">
        <v>1</v>
      </c>
      <c r="B122" s="5" t="n"/>
      <c r="C122" s="5" t="n"/>
      <c r="D122" s="5" t="n"/>
      <c r="E122" s="5" t="n"/>
      <c r="F122" s="5" t="n"/>
      <c r="G122" s="5" t="n"/>
    </row>
    <row r="123">
      <c r="A123" s="5" t="b">
        <v>1</v>
      </c>
      <c r="B123" s="5" t="n"/>
      <c r="C123" s="5" t="n"/>
      <c r="D123" s="5" t="n"/>
      <c r="E123" s="5" t="n"/>
      <c r="F123" s="5" t="n"/>
      <c r="G123" s="5" t="n"/>
    </row>
    <row r="124">
      <c r="A124" s="5" t="b">
        <v>1</v>
      </c>
      <c r="B124" s="5" t="n"/>
      <c r="C124" s="5" t="n"/>
      <c r="D124" s="5" t="n"/>
      <c r="E124" s="5" t="n"/>
      <c r="F124" s="5" t="n"/>
      <c r="G124" s="5" t="n"/>
    </row>
    <row r="125">
      <c r="A125" s="5" t="b">
        <v>1</v>
      </c>
      <c r="B125" s="5" t="n"/>
      <c r="C125" s="5" t="n"/>
      <c r="D125" s="5" t="n"/>
      <c r="E125" s="5" t="n"/>
      <c r="F125" s="5" t="n"/>
      <c r="G125" s="5" t="n"/>
    </row>
    <row r="126">
      <c r="A126" s="5" t="b">
        <v>1</v>
      </c>
      <c r="B126" s="5" t="n"/>
      <c r="C126" s="5" t="n"/>
      <c r="D126" s="5" t="n"/>
      <c r="E126" s="5" t="n"/>
      <c r="F126" s="5" t="n"/>
      <c r="G126" s="5" t="n"/>
    </row>
    <row r="127">
      <c r="A127" s="5" t="b">
        <v>1</v>
      </c>
      <c r="B127" s="5" t="n"/>
      <c r="C127" s="5" t="n"/>
      <c r="D127" s="5" t="n"/>
      <c r="E127" s="5" t="n"/>
      <c r="F127" s="5" t="n"/>
      <c r="G127" s="5" t="n"/>
    </row>
    <row r="128">
      <c r="A128" s="5" t="b">
        <v>1</v>
      </c>
      <c r="B128" s="5" t="n"/>
      <c r="C128" s="5" t="n"/>
      <c r="D128" s="5" t="n"/>
      <c r="E128" s="5" t="n"/>
      <c r="F128" s="5" t="n"/>
      <c r="G128" s="5" t="n"/>
    </row>
    <row r="129">
      <c r="A129" s="5" t="b">
        <v>1</v>
      </c>
      <c r="B129" s="5" t="n"/>
      <c r="C129" s="5" t="n"/>
      <c r="D129" s="5" t="n"/>
      <c r="E129" s="5" t="n"/>
      <c r="F129" s="5" t="n"/>
      <c r="G129" s="5" t="n"/>
    </row>
    <row r="130">
      <c r="A130" s="5" t="b">
        <v>1</v>
      </c>
      <c r="B130" s="5" t="n"/>
      <c r="C130" s="5" t="n"/>
      <c r="D130" s="5" t="n"/>
      <c r="E130" s="5" t="n"/>
      <c r="F130" s="5" t="n"/>
      <c r="G130" s="5" t="n"/>
    </row>
    <row r="131">
      <c r="A131" s="5" t="b">
        <v>1</v>
      </c>
      <c r="B131" s="5" t="n"/>
      <c r="C131" s="5" t="n"/>
      <c r="D131" s="5" t="n"/>
      <c r="E131" s="5" t="n"/>
      <c r="F131" s="5" t="n"/>
      <c r="G131" s="5" t="n"/>
    </row>
    <row r="132">
      <c r="A132" s="5" t="b">
        <v>1</v>
      </c>
      <c r="B132" s="5" t="n"/>
      <c r="C132" s="5" t="n"/>
      <c r="D132" s="5" t="n"/>
      <c r="E132" s="5" t="n"/>
      <c r="F132" s="5" t="n"/>
      <c r="G132" s="5" t="n"/>
    </row>
    <row r="133">
      <c r="A133" s="5" t="b">
        <v>1</v>
      </c>
      <c r="B133" s="5" t="n"/>
      <c r="C133" s="5" t="n"/>
      <c r="D133" s="5" t="n"/>
      <c r="E133" s="5" t="n"/>
      <c r="F133" s="5" t="n"/>
      <c r="G133" s="5" t="n"/>
    </row>
    <row r="134">
      <c r="A134" s="5" t="b">
        <v>1</v>
      </c>
      <c r="B134" s="5" t="n"/>
      <c r="C134" s="5" t="n"/>
      <c r="D134" s="5" t="n"/>
      <c r="E134" s="5" t="n"/>
      <c r="F134" s="5" t="n"/>
      <c r="G134" s="5" t="n"/>
    </row>
    <row r="135">
      <c r="A135" s="5" t="b">
        <v>1</v>
      </c>
      <c r="B135" s="5" t="n"/>
      <c r="C135" s="5" t="n"/>
      <c r="D135" s="5" t="n"/>
      <c r="E135" s="5" t="n"/>
      <c r="F135" s="5" t="n"/>
      <c r="G135" s="5" t="n"/>
    </row>
    <row r="136">
      <c r="A136" s="5" t="b">
        <v>1</v>
      </c>
      <c r="B136" s="5" t="n"/>
      <c r="C136" s="5" t="n"/>
      <c r="D136" s="5" t="n"/>
      <c r="E136" s="5" t="n"/>
      <c r="F136" s="5" t="n"/>
      <c r="G136" s="5" t="n"/>
    </row>
    <row r="137">
      <c r="A137" s="5" t="b">
        <v>1</v>
      </c>
      <c r="B137" s="5" t="n"/>
      <c r="C137" s="5" t="n"/>
      <c r="D137" s="5" t="n"/>
      <c r="E137" s="5" t="n"/>
      <c r="F137" s="5" t="n"/>
      <c r="G137" s="5" t="n"/>
    </row>
    <row r="138">
      <c r="A138" s="5" t="b">
        <v>1</v>
      </c>
      <c r="B138" s="5" t="n"/>
      <c r="C138" s="5" t="n"/>
      <c r="D138" s="5" t="n"/>
      <c r="E138" s="5" t="n"/>
      <c r="F138" s="5" t="n"/>
      <c r="G138" s="5" t="n"/>
    </row>
    <row r="139">
      <c r="A139" s="5" t="b">
        <v>1</v>
      </c>
      <c r="B139" s="5" t="n"/>
      <c r="C139" s="5" t="n"/>
      <c r="D139" s="5" t="n"/>
      <c r="E139" s="5" t="n"/>
      <c r="F139" s="5" t="n"/>
      <c r="G139" s="5" t="n"/>
    </row>
    <row r="140">
      <c r="A140" s="5" t="b">
        <v>1</v>
      </c>
      <c r="B140" s="5" t="n"/>
      <c r="C140" s="5" t="n"/>
      <c r="D140" s="5" t="n"/>
      <c r="E140" s="5" t="n"/>
      <c r="F140" s="5" t="n"/>
      <c r="G140" s="5" t="n"/>
    </row>
    <row r="141">
      <c r="A141" s="5" t="b">
        <v>1</v>
      </c>
      <c r="B141" s="5" t="n"/>
      <c r="C141" s="5" t="n"/>
      <c r="D141" s="5" t="n"/>
      <c r="E141" s="5" t="n"/>
      <c r="F141" s="5" t="n"/>
      <c r="G141" s="5" t="n"/>
    </row>
    <row r="142">
      <c r="A142" s="5" t="b">
        <v>1</v>
      </c>
      <c r="B142" s="5" t="n"/>
      <c r="C142" s="5" t="n"/>
      <c r="D142" s="5" t="n"/>
      <c r="E142" s="5" t="n"/>
      <c r="F142" s="5" t="n"/>
      <c r="G142" s="5" t="n"/>
    </row>
    <row r="143">
      <c r="A143" s="5" t="b">
        <v>1</v>
      </c>
      <c r="B143" s="5" t="n"/>
      <c r="C143" s="5" t="n"/>
      <c r="D143" s="5" t="n"/>
      <c r="E143" s="5" t="n"/>
      <c r="F143" s="5" t="n"/>
      <c r="G143" s="5" t="n"/>
    </row>
    <row r="144">
      <c r="A144" s="5" t="b">
        <v>1</v>
      </c>
      <c r="B144" s="5" t="n"/>
      <c r="C144" s="5" t="n"/>
      <c r="D144" s="5" t="n"/>
      <c r="E144" s="5" t="n"/>
      <c r="F144" s="5" t="n"/>
      <c r="G144" s="5" t="n"/>
    </row>
    <row r="145">
      <c r="A145" s="5" t="b">
        <v>1</v>
      </c>
      <c r="B145" s="5" t="n"/>
      <c r="C145" s="5" t="n"/>
      <c r="D145" s="5" t="n"/>
      <c r="E145" s="5" t="n"/>
      <c r="F145" s="5" t="n"/>
      <c r="G145" s="5" t="n"/>
    </row>
    <row r="146">
      <c r="A146" s="5" t="b">
        <v>1</v>
      </c>
      <c r="B146" s="5" t="n"/>
      <c r="C146" s="5" t="n"/>
      <c r="D146" s="5" t="n"/>
      <c r="E146" s="5" t="n"/>
      <c r="F146" s="5" t="n"/>
      <c r="G146" s="5" t="n"/>
    </row>
    <row r="147">
      <c r="A147" s="5" t="b">
        <v>1</v>
      </c>
      <c r="B147" s="5" t="n"/>
      <c r="C147" s="5" t="n"/>
      <c r="D147" s="5" t="n"/>
      <c r="E147" s="5" t="n"/>
      <c r="F147" s="5" t="n"/>
      <c r="G147" s="5" t="n"/>
    </row>
    <row r="148">
      <c r="A148" s="5" t="b">
        <v>1</v>
      </c>
      <c r="B148" s="5" t="n"/>
      <c r="C148" s="5" t="n"/>
      <c r="D148" s="5" t="n"/>
      <c r="E148" s="5" t="n"/>
      <c r="F148" s="5" t="n"/>
      <c r="G148" s="5" t="n"/>
    </row>
    <row r="149">
      <c r="A149" s="5" t="b">
        <v>1</v>
      </c>
      <c r="B149" s="5" t="n"/>
      <c r="C149" s="5" t="n"/>
      <c r="D149" s="5" t="n"/>
      <c r="E149" s="5" t="n"/>
      <c r="F149" s="5" t="n"/>
      <c r="G149" s="5" t="n"/>
    </row>
    <row r="150">
      <c r="A150" s="5" t="b">
        <v>1</v>
      </c>
      <c r="B150" s="5" t="n"/>
      <c r="C150" s="5" t="n"/>
      <c r="D150" s="5" t="n"/>
      <c r="E150" s="5" t="n"/>
      <c r="F150" s="5" t="n"/>
      <c r="G150" s="5" t="n"/>
    </row>
    <row r="151">
      <c r="A151" s="5" t="b">
        <v>1</v>
      </c>
      <c r="B151" s="5" t="n"/>
      <c r="C151" s="5" t="n"/>
      <c r="D151" s="5" t="n"/>
      <c r="E151" s="5" t="n"/>
      <c r="F151" s="5" t="n"/>
      <c r="G151" s="5" t="n"/>
    </row>
    <row r="152">
      <c r="A152" s="5" t="b">
        <v>1</v>
      </c>
      <c r="B152" s="5" t="n"/>
      <c r="C152" s="5" t="n"/>
      <c r="D152" s="5" t="n"/>
      <c r="E152" s="5" t="n"/>
      <c r="F152" s="5" t="n"/>
      <c r="G152" s="5" t="n"/>
    </row>
    <row r="153">
      <c r="A153" s="5" t="b">
        <v>1</v>
      </c>
      <c r="B153" s="5" t="n"/>
      <c r="C153" s="5" t="n"/>
      <c r="D153" s="5" t="n"/>
      <c r="E153" s="5" t="n"/>
      <c r="F153" s="5" t="n"/>
      <c r="G153" s="5" t="n"/>
    </row>
    <row r="154">
      <c r="A154" s="5" t="b">
        <v>1</v>
      </c>
      <c r="B154" s="5" t="n"/>
      <c r="C154" s="5" t="n"/>
      <c r="D154" s="5" t="n"/>
      <c r="E154" s="5" t="n"/>
      <c r="F154" s="5" t="n"/>
      <c r="G154" s="5" t="n"/>
    </row>
    <row r="155">
      <c r="A155" s="5" t="b">
        <v>1</v>
      </c>
      <c r="B155" s="5" t="n"/>
      <c r="C155" s="5" t="n"/>
      <c r="D155" s="5" t="n"/>
      <c r="E155" s="5" t="n"/>
      <c r="F155" s="5" t="n"/>
      <c r="G155" s="5" t="n"/>
    </row>
    <row r="156">
      <c r="A156" s="5" t="b">
        <v>1</v>
      </c>
      <c r="B156" s="5" t="n"/>
      <c r="C156" s="5" t="n"/>
      <c r="D156" s="5" t="n"/>
      <c r="E156" s="5" t="n"/>
      <c r="F156" s="5" t="n"/>
      <c r="G156" s="5" t="n"/>
    </row>
    <row r="157">
      <c r="A157" s="5" t="b">
        <v>1</v>
      </c>
      <c r="B157" s="5" t="n"/>
      <c r="C157" s="5" t="n"/>
      <c r="D157" s="5" t="n"/>
      <c r="E157" s="5" t="n"/>
      <c r="F157" s="5" t="n"/>
      <c r="G157" s="5" t="n"/>
    </row>
    <row r="158">
      <c r="A158" s="5" t="b">
        <v>1</v>
      </c>
      <c r="B158" s="5" t="n"/>
      <c r="C158" s="5" t="n"/>
      <c r="D158" s="5" t="n"/>
      <c r="E158" s="5" t="n"/>
      <c r="F158" s="5" t="n"/>
      <c r="G158" s="5" t="n"/>
    </row>
    <row r="159">
      <c r="A159" s="5" t="b">
        <v>1</v>
      </c>
      <c r="B159" s="5" t="n"/>
      <c r="C159" s="5" t="n"/>
      <c r="D159" s="5" t="n"/>
      <c r="E159" s="5" t="n"/>
      <c r="F159" s="5" t="n"/>
      <c r="G159" s="5" t="n"/>
    </row>
    <row r="160">
      <c r="A160" s="5" t="b">
        <v>1</v>
      </c>
      <c r="B160" s="5" t="n"/>
      <c r="C160" s="5" t="n"/>
      <c r="D160" s="5" t="n"/>
      <c r="E160" s="5" t="n"/>
      <c r="F160" s="5" t="n"/>
      <c r="G160" s="5" t="n"/>
    </row>
    <row r="161">
      <c r="A161" s="5" t="b">
        <v>1</v>
      </c>
      <c r="B161" s="5" t="n"/>
      <c r="C161" s="5" t="n"/>
      <c r="D161" s="5" t="n"/>
      <c r="E161" s="5" t="n"/>
      <c r="F161" s="5" t="n"/>
      <c r="G161" s="5" t="n"/>
    </row>
    <row r="162">
      <c r="A162" s="5" t="b">
        <v>1</v>
      </c>
      <c r="B162" s="5" t="n"/>
      <c r="C162" s="5" t="n"/>
      <c r="D162" s="5" t="n"/>
      <c r="E162" s="5" t="n"/>
      <c r="F162" s="5" t="n"/>
      <c r="G162" s="5" t="n"/>
    </row>
    <row r="163">
      <c r="A163" s="5" t="b">
        <v>1</v>
      </c>
      <c r="B163" s="5" t="n"/>
      <c r="C163" s="5" t="n"/>
      <c r="D163" s="5" t="n"/>
      <c r="E163" s="5" t="n"/>
      <c r="F163" s="5" t="n"/>
      <c r="G163" s="5" t="n"/>
    </row>
    <row r="164">
      <c r="A164" s="5" t="b">
        <v>1</v>
      </c>
      <c r="B164" s="5" t="n"/>
      <c r="C164" s="5" t="n"/>
      <c r="D164" s="5" t="n"/>
      <c r="E164" s="5" t="n"/>
      <c r="F164" s="5" t="n"/>
      <c r="G164" s="5" t="n"/>
    </row>
    <row r="165">
      <c r="A165" s="5" t="b">
        <v>1</v>
      </c>
      <c r="B165" s="5" t="n"/>
      <c r="C165" s="5" t="n"/>
      <c r="D165" s="5" t="n"/>
      <c r="E165" s="5" t="n"/>
      <c r="F165" s="5" t="n"/>
      <c r="G165" s="5" t="n"/>
    </row>
    <row r="166">
      <c r="A166" s="5" t="b">
        <v>1</v>
      </c>
      <c r="B166" s="5" t="n"/>
      <c r="C166" s="5" t="n"/>
      <c r="D166" s="5" t="n"/>
      <c r="E166" s="5" t="n"/>
      <c r="F166" s="5" t="n"/>
      <c r="G166" s="5" t="n"/>
    </row>
    <row r="167">
      <c r="A167" s="5" t="b">
        <v>1</v>
      </c>
      <c r="B167" s="5" t="n"/>
      <c r="C167" s="5" t="n"/>
      <c r="D167" s="5" t="n"/>
      <c r="E167" s="5" t="n"/>
      <c r="F167" s="5" t="n"/>
      <c r="G167" s="5" t="n"/>
    </row>
    <row r="168">
      <c r="A168" s="5" t="b">
        <v>1</v>
      </c>
      <c r="B168" s="5" t="n"/>
      <c r="C168" s="5" t="n"/>
      <c r="D168" s="5" t="n"/>
      <c r="E168" s="5" t="n"/>
      <c r="F168" s="5" t="n"/>
      <c r="G168" s="5" t="n"/>
    </row>
    <row r="169">
      <c r="A169" s="5" t="b">
        <v>1</v>
      </c>
      <c r="B169" s="5" t="n"/>
      <c r="C169" s="5" t="n"/>
      <c r="D169" s="5" t="n"/>
      <c r="E169" s="5" t="n"/>
      <c r="F169" s="5" t="n"/>
      <c r="G169" s="5" t="n"/>
    </row>
    <row r="170">
      <c r="A170" s="5" t="b">
        <v>1</v>
      </c>
      <c r="B170" s="5" t="n"/>
      <c r="C170" s="5" t="n"/>
      <c r="D170" s="5" t="n"/>
      <c r="E170" s="5" t="n"/>
      <c r="F170" s="5" t="n"/>
      <c r="G170" s="5" t="n"/>
    </row>
    <row r="171">
      <c r="A171" s="5" t="b">
        <v>1</v>
      </c>
      <c r="B171" s="5" t="n"/>
      <c r="C171" s="5" t="n"/>
      <c r="D171" s="5" t="n"/>
      <c r="E171" s="5" t="n"/>
      <c r="F171" s="5" t="n"/>
      <c r="G171" s="5" t="n"/>
    </row>
    <row r="172">
      <c r="A172" s="5" t="b">
        <v>1</v>
      </c>
      <c r="B172" s="5" t="n"/>
      <c r="C172" s="5" t="n"/>
      <c r="D172" s="5" t="n"/>
      <c r="E172" s="5" t="n"/>
      <c r="F172" s="5" t="n"/>
      <c r="G172" s="5" t="n"/>
    </row>
    <row r="173">
      <c r="A173" s="5" t="b">
        <v>1</v>
      </c>
      <c r="B173" s="5" t="n"/>
      <c r="C173" s="5" t="n"/>
      <c r="D173" s="5" t="n"/>
      <c r="E173" s="5" t="n"/>
      <c r="F173" s="5" t="n"/>
      <c r="G173" s="5" t="n"/>
    </row>
    <row r="174">
      <c r="A174" s="5" t="b">
        <v>1</v>
      </c>
      <c r="B174" s="5" t="n"/>
      <c r="C174" s="5" t="n"/>
      <c r="D174" s="5" t="n"/>
      <c r="E174" s="5" t="n"/>
      <c r="F174" s="5" t="n"/>
      <c r="G174" s="5" t="n"/>
    </row>
    <row r="175">
      <c r="A175" s="5" t="b">
        <v>1</v>
      </c>
      <c r="B175" s="5" t="n"/>
      <c r="C175" s="5" t="n"/>
      <c r="D175" s="5" t="n"/>
      <c r="E175" s="5" t="n"/>
      <c r="F175" s="5" t="n"/>
      <c r="G175" s="5" t="n"/>
    </row>
    <row r="176">
      <c r="A176" s="5" t="b">
        <v>1</v>
      </c>
      <c r="B176" s="5" t="n"/>
      <c r="C176" s="5" t="n"/>
      <c r="D176" s="5" t="n"/>
      <c r="E176" s="5" t="n"/>
      <c r="F176" s="5" t="n"/>
      <c r="G176" s="5" t="n"/>
    </row>
    <row r="177">
      <c r="A177" s="5" t="b">
        <v>1</v>
      </c>
      <c r="B177" s="5" t="n"/>
      <c r="C177" s="5" t="n"/>
      <c r="D177" s="5" t="n"/>
      <c r="E177" s="5" t="n"/>
      <c r="F177" s="5" t="n"/>
      <c r="G177" s="5" t="n"/>
    </row>
    <row r="178">
      <c r="A178" s="5" t="b">
        <v>1</v>
      </c>
      <c r="B178" s="5" t="n"/>
      <c r="C178" s="5" t="n"/>
      <c r="D178" s="5" t="n"/>
      <c r="E178" s="5" t="n"/>
      <c r="F178" s="5" t="n"/>
      <c r="G178" s="5" t="n"/>
    </row>
    <row r="179">
      <c r="A179" s="5" t="b">
        <v>1</v>
      </c>
      <c r="B179" s="5" t="n"/>
      <c r="C179" s="5" t="n"/>
      <c r="D179" s="5" t="n"/>
      <c r="E179" s="5" t="n"/>
      <c r="F179" s="5" t="n"/>
      <c r="G179" s="5" t="n"/>
    </row>
    <row r="180">
      <c r="A180" s="5" t="b">
        <v>1</v>
      </c>
      <c r="B180" s="5" t="n"/>
      <c r="C180" s="5" t="n"/>
      <c r="D180" s="5" t="n"/>
      <c r="E180" s="5" t="n"/>
      <c r="F180" s="5" t="n"/>
      <c r="G180" s="5" t="n"/>
    </row>
    <row r="181">
      <c r="A181" s="5" t="b">
        <v>1</v>
      </c>
      <c r="B181" s="5" t="n"/>
      <c r="C181" s="5" t="n"/>
      <c r="D181" s="5" t="n"/>
      <c r="E181" s="5" t="n"/>
      <c r="F181" s="5" t="n"/>
      <c r="G181" s="5" t="n"/>
    </row>
    <row r="182">
      <c r="A182" s="5" t="b">
        <v>1</v>
      </c>
      <c r="B182" s="5" t="n"/>
      <c r="C182" s="5" t="n"/>
      <c r="D182" s="5" t="n"/>
      <c r="E182" s="5" t="n"/>
      <c r="F182" s="5" t="n"/>
      <c r="G182" s="5" t="n"/>
    </row>
    <row r="183">
      <c r="A183" s="5" t="b">
        <v>1</v>
      </c>
      <c r="B183" s="5" t="n"/>
      <c r="C183" s="5" t="n"/>
      <c r="D183" s="5" t="n"/>
      <c r="E183" s="5" t="n"/>
      <c r="F183" s="5" t="n"/>
      <c r="G183" s="5" t="n"/>
    </row>
    <row r="184">
      <c r="A184" s="5" t="b">
        <v>1</v>
      </c>
      <c r="B184" s="5" t="n"/>
      <c r="C184" s="5" t="n"/>
      <c r="D184" s="5" t="n"/>
      <c r="E184" s="5" t="n"/>
      <c r="F184" s="5" t="n"/>
      <c r="G184" s="5" t="n"/>
    </row>
    <row r="185">
      <c r="A185" s="5" t="b">
        <v>1</v>
      </c>
      <c r="B185" s="5" t="n"/>
      <c r="C185" s="5" t="n"/>
      <c r="D185" s="5" t="n"/>
      <c r="E185" s="5" t="n"/>
      <c r="F185" s="5" t="n"/>
      <c r="G185" s="5" t="n"/>
    </row>
    <row r="186">
      <c r="A186" s="5" t="b">
        <v>1</v>
      </c>
      <c r="B186" s="5" t="n"/>
      <c r="C186" s="5" t="n"/>
      <c r="D186" s="5" t="n"/>
      <c r="E186" s="5" t="n"/>
      <c r="F186" s="5" t="n"/>
      <c r="G186" s="5" t="n"/>
    </row>
    <row r="187">
      <c r="A187" s="5" t="b">
        <v>1</v>
      </c>
      <c r="B187" s="5" t="n"/>
      <c r="C187" s="5" t="n"/>
      <c r="D187" s="5" t="n"/>
      <c r="E187" s="5" t="n"/>
      <c r="F187" s="5" t="n"/>
      <c r="G187" s="5" t="n"/>
    </row>
    <row r="188">
      <c r="A188" s="5" t="b">
        <v>1</v>
      </c>
      <c r="B188" s="5" t="n"/>
      <c r="C188" s="5" t="n"/>
      <c r="D188" s="5" t="n"/>
      <c r="E188" s="5" t="n"/>
      <c r="F188" s="5" t="n"/>
      <c r="G188" s="5" t="n"/>
    </row>
    <row r="189">
      <c r="A189" s="5" t="b">
        <v>1</v>
      </c>
      <c r="B189" s="5" t="n"/>
      <c r="C189" s="5" t="n"/>
      <c r="D189" s="5" t="n"/>
      <c r="E189" s="5" t="n"/>
      <c r="F189" s="5" t="n"/>
      <c r="G189" s="5" t="n"/>
    </row>
    <row r="190">
      <c r="A190" s="5" t="b">
        <v>1</v>
      </c>
      <c r="B190" s="5" t="n"/>
      <c r="C190" s="5" t="n"/>
      <c r="D190" s="5" t="n"/>
      <c r="E190" s="5" t="n"/>
      <c r="F190" s="5" t="n"/>
      <c r="G190" s="5" t="n"/>
    </row>
    <row r="191">
      <c r="A191" s="5" t="b">
        <v>1</v>
      </c>
      <c r="B191" s="5" t="n"/>
      <c r="C191" s="5" t="n"/>
      <c r="D191" s="5" t="n"/>
      <c r="E191" s="5" t="n"/>
      <c r="F191" s="5" t="n"/>
      <c r="G191" s="5" t="n"/>
    </row>
    <row r="192">
      <c r="A192" s="5" t="b">
        <v>1</v>
      </c>
      <c r="B192" s="5" t="n"/>
      <c r="C192" s="5" t="n"/>
      <c r="D192" s="5" t="n"/>
      <c r="E192" s="5" t="n"/>
      <c r="F192" s="5" t="n"/>
      <c r="G192" s="5" t="n"/>
    </row>
    <row r="193">
      <c r="A193" s="5" t="b">
        <v>1</v>
      </c>
      <c r="B193" s="5" t="n"/>
      <c r="C193" s="5" t="n"/>
      <c r="D193" s="5" t="n"/>
      <c r="E193" s="5" t="n"/>
      <c r="F193" s="5" t="n"/>
      <c r="G193" s="5" t="n"/>
    </row>
    <row r="194">
      <c r="A194" s="5" t="b">
        <v>1</v>
      </c>
      <c r="B194" s="5" t="n"/>
      <c r="C194" s="5" t="n"/>
      <c r="D194" s="5" t="n"/>
      <c r="E194" s="5" t="n"/>
      <c r="F194" s="5" t="n"/>
      <c r="G194" s="5" t="n"/>
    </row>
    <row r="195">
      <c r="A195" s="5" t="b">
        <v>1</v>
      </c>
      <c r="B195" s="5" t="n"/>
      <c r="C195" s="5" t="n"/>
      <c r="D195" s="5" t="n"/>
      <c r="E195" s="5" t="n"/>
      <c r="F195" s="5" t="n"/>
      <c r="G195" s="5" t="n"/>
    </row>
    <row r="196">
      <c r="A196" s="5" t="b">
        <v>1</v>
      </c>
      <c r="B196" s="5" t="n"/>
      <c r="C196" s="5" t="n"/>
      <c r="D196" s="5" t="n"/>
      <c r="E196" s="5" t="n"/>
      <c r="F196" s="5" t="n"/>
      <c r="G196" s="5" t="n"/>
    </row>
    <row r="197">
      <c r="A197" s="5" t="b">
        <v>1</v>
      </c>
      <c r="B197" s="5" t="n"/>
      <c r="C197" s="5" t="n"/>
      <c r="D197" s="5" t="n"/>
      <c r="E197" s="5" t="n"/>
      <c r="F197" s="5" t="n"/>
      <c r="G197" s="5" t="n"/>
    </row>
    <row r="198">
      <c r="A198" s="5" t="b">
        <v>1</v>
      </c>
      <c r="B198" s="5" t="n"/>
      <c r="C198" s="5" t="n"/>
      <c r="D198" s="5" t="n"/>
      <c r="E198" s="5" t="n"/>
      <c r="F198" s="5" t="n"/>
      <c r="G198" s="5" t="n"/>
    </row>
    <row r="199">
      <c r="A199" s="5" t="b">
        <v>1</v>
      </c>
      <c r="B199" s="5" t="n"/>
      <c r="C199" s="5" t="n"/>
      <c r="D199" s="5" t="n"/>
      <c r="E199" s="5" t="n"/>
      <c r="F199" s="5" t="n"/>
      <c r="G199" s="5" t="n"/>
    </row>
    <row r="200">
      <c r="A200" s="5" t="b">
        <v>1</v>
      </c>
      <c r="B200" s="5" t="n"/>
      <c r="C200" s="5" t="n"/>
      <c r="D200" s="5" t="n"/>
      <c r="E200" s="5" t="n"/>
      <c r="F200" s="5" t="n"/>
      <c r="G200" s="5" t="n"/>
    </row>
    <row r="201">
      <c r="A201" s="5" t="b">
        <v>1</v>
      </c>
      <c r="B201" s="5" t="n"/>
      <c r="C201" s="5" t="n"/>
      <c r="D201" s="5" t="n"/>
      <c r="E201" s="5" t="n"/>
      <c r="F201" s="5" t="n"/>
      <c r="G201" s="5" t="n"/>
    </row>
    <row r="202">
      <c r="A202" s="5" t="b">
        <v>1</v>
      </c>
      <c r="B202" s="5" t="n"/>
      <c r="C202" s="5" t="n"/>
      <c r="D202" s="5" t="n"/>
      <c r="E202" s="5" t="n"/>
      <c r="F202" s="5" t="n"/>
      <c r="G202" s="5" t="n"/>
    </row>
    <row r="203">
      <c r="A203" s="5" t="b">
        <v>1</v>
      </c>
      <c r="B203" s="5" t="n"/>
      <c r="C203" s="5" t="n"/>
      <c r="D203" s="5" t="n"/>
      <c r="E203" s="5" t="n"/>
      <c r="F203" s="5" t="n"/>
      <c r="G203" s="5" t="n"/>
    </row>
    <row r="204">
      <c r="A204" s="5" t="b">
        <v>1</v>
      </c>
      <c r="B204" s="5" t="n"/>
      <c r="C204" s="5" t="n"/>
      <c r="D204" s="5" t="n"/>
      <c r="E204" s="5" t="n"/>
      <c r="F204" s="5" t="n"/>
      <c r="G204" s="5" t="n"/>
    </row>
    <row r="205">
      <c r="A205" s="5" t="b">
        <v>1</v>
      </c>
      <c r="B205" s="5" t="n"/>
      <c r="C205" s="5" t="n"/>
      <c r="D205" s="5" t="n"/>
      <c r="E205" s="5" t="n"/>
      <c r="F205" s="5" t="n"/>
      <c r="G205" s="5" t="n"/>
    </row>
    <row r="206">
      <c r="A206" s="5" t="b">
        <v>1</v>
      </c>
      <c r="B206" s="5" t="n"/>
      <c r="C206" s="5" t="n"/>
      <c r="D206" s="5" t="n"/>
      <c r="E206" s="5" t="n"/>
      <c r="F206" s="5" t="n"/>
      <c r="G206" s="5" t="n"/>
    </row>
    <row r="207">
      <c r="A207" s="5" t="b">
        <v>1</v>
      </c>
      <c r="B207" s="5" t="n"/>
      <c r="C207" s="5" t="n"/>
      <c r="D207" s="5" t="n"/>
      <c r="E207" s="5" t="n"/>
      <c r="F207" s="5" t="n"/>
      <c r="G207" s="5" t="n"/>
    </row>
    <row r="208">
      <c r="A208" s="5" t="b">
        <v>1</v>
      </c>
      <c r="B208" s="5" t="n"/>
      <c r="C208" s="5" t="n"/>
      <c r="D208" s="5" t="n"/>
      <c r="E208" s="5" t="n"/>
      <c r="F208" s="5" t="n"/>
      <c r="G208" s="5" t="n"/>
    </row>
    <row r="209">
      <c r="A209" s="5" t="b">
        <v>1</v>
      </c>
      <c r="B209" s="5" t="n"/>
      <c r="C209" s="5" t="n"/>
      <c r="D209" s="5" t="n"/>
      <c r="E209" s="5" t="n"/>
      <c r="F209" s="5" t="n"/>
      <c r="G209" s="5" t="n"/>
    </row>
    <row r="210">
      <c r="A210" s="5" t="b">
        <v>1</v>
      </c>
      <c r="B210" s="5" t="n"/>
      <c r="C210" s="5" t="n"/>
      <c r="D210" s="5" t="n"/>
      <c r="E210" s="5" t="n"/>
      <c r="F210" s="5" t="n"/>
      <c r="G210" s="5" t="n"/>
    </row>
    <row r="211">
      <c r="A211" s="5" t="b">
        <v>1</v>
      </c>
      <c r="B211" s="5" t="n"/>
      <c r="C211" s="5" t="n"/>
      <c r="D211" s="5" t="n"/>
      <c r="E211" s="5" t="n"/>
      <c r="F211" s="5" t="n"/>
      <c r="G211" s="5" t="n"/>
    </row>
    <row r="212">
      <c r="A212" s="5" t="b">
        <v>1</v>
      </c>
      <c r="B212" s="5" t="n"/>
      <c r="C212" s="5" t="n"/>
      <c r="D212" s="5" t="n"/>
      <c r="E212" s="5" t="n"/>
      <c r="F212" s="5" t="n"/>
      <c r="G212" s="5" t="n"/>
    </row>
    <row r="213">
      <c r="A213" s="5" t="b">
        <v>1</v>
      </c>
      <c r="B213" s="5" t="n"/>
      <c r="C213" s="5" t="n"/>
      <c r="D213" s="5" t="n"/>
      <c r="E213" s="5" t="n"/>
      <c r="F213" s="5" t="n"/>
      <c r="G213" s="5" t="n"/>
    </row>
    <row r="214">
      <c r="A214" s="5" t="b">
        <v>1</v>
      </c>
      <c r="B214" s="5" t="n"/>
      <c r="C214" s="5" t="n"/>
      <c r="D214" s="5" t="n"/>
      <c r="E214" s="5" t="n"/>
      <c r="F214" s="5" t="n"/>
      <c r="G214" s="5" t="n"/>
    </row>
    <row r="215">
      <c r="A215" s="5" t="b">
        <v>1</v>
      </c>
      <c r="B215" s="5" t="n"/>
      <c r="C215" s="5" t="n"/>
      <c r="D215" s="5" t="n"/>
      <c r="E215" s="5" t="n"/>
      <c r="F215" s="5" t="n"/>
      <c r="G215" s="5" t="n"/>
    </row>
    <row r="216">
      <c r="A216" s="5" t="b">
        <v>1</v>
      </c>
      <c r="B216" s="5" t="n"/>
      <c r="C216" s="5" t="n"/>
      <c r="D216" s="5" t="n"/>
      <c r="E216" s="5" t="n"/>
      <c r="F216" s="5" t="n"/>
      <c r="G216" s="5" t="n"/>
    </row>
    <row r="217">
      <c r="A217" s="5" t="b">
        <v>1</v>
      </c>
      <c r="B217" s="5" t="n"/>
      <c r="C217" s="5" t="n"/>
      <c r="D217" s="5" t="n"/>
      <c r="E217" s="5" t="n"/>
      <c r="F217" s="5" t="n"/>
      <c r="G217" s="5" t="n"/>
    </row>
    <row r="218">
      <c r="A218" s="5" t="b">
        <v>1</v>
      </c>
      <c r="B218" s="5" t="n"/>
      <c r="C218" s="5" t="n"/>
      <c r="D218" s="5" t="n"/>
      <c r="E218" s="5" t="n"/>
      <c r="F218" s="5" t="n"/>
      <c r="G218" s="5" t="n"/>
    </row>
    <row r="219">
      <c r="A219" s="5" t="b">
        <v>1</v>
      </c>
      <c r="B219" s="5" t="n"/>
      <c r="C219" s="5" t="n"/>
      <c r="D219" s="5" t="n"/>
      <c r="E219" s="5" t="n"/>
      <c r="F219" s="5" t="n"/>
      <c r="G219" s="5" t="n"/>
    </row>
    <row r="220">
      <c r="A220" s="5" t="b">
        <v>1</v>
      </c>
      <c r="B220" s="5" t="n"/>
      <c r="C220" s="5" t="n"/>
      <c r="D220" s="5" t="n"/>
      <c r="E220" s="5" t="n"/>
      <c r="F220" s="5" t="n"/>
      <c r="G220" s="5" t="n"/>
    </row>
    <row r="221">
      <c r="A221" s="5" t="b">
        <v>1</v>
      </c>
      <c r="B221" s="5" t="n"/>
      <c r="C221" s="5" t="n"/>
      <c r="D221" s="5" t="n"/>
      <c r="E221" s="5" t="n"/>
      <c r="F221" s="5" t="n"/>
      <c r="G221" s="5" t="n"/>
    </row>
    <row r="222">
      <c r="A222" s="5" t="b">
        <v>1</v>
      </c>
      <c r="B222" s="5" t="n"/>
      <c r="C222" s="5" t="n"/>
      <c r="D222" s="5" t="n"/>
      <c r="E222" s="5" t="n"/>
      <c r="F222" s="5" t="n"/>
      <c r="G222" s="5" t="n"/>
    </row>
    <row r="223">
      <c r="A223" s="5" t="b">
        <v>1</v>
      </c>
      <c r="B223" s="5" t="n"/>
      <c r="C223" s="5" t="n"/>
      <c r="D223" s="5" t="n"/>
      <c r="E223" s="5" t="n"/>
      <c r="F223" s="5" t="n"/>
      <c r="G223" s="5" t="n"/>
    </row>
    <row r="224">
      <c r="A224" s="5" t="b">
        <v>1</v>
      </c>
      <c r="B224" s="5" t="n"/>
      <c r="C224" s="5" t="n"/>
      <c r="D224" s="5" t="n"/>
      <c r="E224" s="5" t="n"/>
      <c r="F224" s="5" t="n"/>
      <c r="G224" s="5" t="n"/>
    </row>
    <row r="225">
      <c r="A225" s="5" t="b">
        <v>1</v>
      </c>
      <c r="B225" s="5" t="n"/>
      <c r="C225" s="5" t="n"/>
      <c r="D225" s="5" t="n"/>
      <c r="E225" s="5" t="n"/>
      <c r="F225" s="5" t="n"/>
      <c r="G225" s="5" t="n"/>
    </row>
    <row r="226">
      <c r="A226" s="5" t="b">
        <v>1</v>
      </c>
      <c r="B226" s="5" t="n"/>
      <c r="C226" s="5" t="n"/>
      <c r="D226" s="5" t="n"/>
      <c r="E226" s="5" t="n"/>
      <c r="F226" s="5" t="n"/>
      <c r="G226" s="5" t="n"/>
    </row>
    <row r="227">
      <c r="A227" s="5" t="b">
        <v>1</v>
      </c>
      <c r="B227" s="5" t="n"/>
      <c r="C227" s="5" t="n"/>
      <c r="D227" s="5" t="n"/>
      <c r="E227" s="5" t="n"/>
      <c r="F227" s="5" t="n"/>
      <c r="G227" s="5" t="n"/>
    </row>
    <row r="228">
      <c r="A228" s="5" t="b">
        <v>1</v>
      </c>
      <c r="B228" s="5" t="n"/>
      <c r="C228" s="5" t="n"/>
      <c r="D228" s="5" t="n"/>
      <c r="E228" s="5" t="n"/>
      <c r="F228" s="5" t="n"/>
      <c r="G228" s="5" t="n"/>
    </row>
    <row r="229">
      <c r="A229" s="5" t="b">
        <v>1</v>
      </c>
      <c r="B229" s="5" t="n"/>
      <c r="C229" s="5" t="n"/>
      <c r="D229" s="5" t="n"/>
      <c r="E229" s="5" t="n"/>
      <c r="F229" s="5" t="n"/>
      <c r="G229" s="5" t="n"/>
    </row>
    <row r="230">
      <c r="A230" s="5" t="b">
        <v>1</v>
      </c>
      <c r="B230" s="5" t="n"/>
      <c r="C230" s="5" t="n"/>
      <c r="D230" s="5" t="n"/>
      <c r="E230" s="5" t="n"/>
      <c r="F230" s="5" t="n"/>
      <c r="G230" s="5" t="n"/>
    </row>
    <row r="231">
      <c r="A231" s="5" t="b">
        <v>1</v>
      </c>
      <c r="B231" s="5" t="n"/>
      <c r="C231" s="5" t="n"/>
      <c r="D231" s="5" t="n"/>
      <c r="E231" s="5" t="n"/>
      <c r="F231" s="5" t="n"/>
      <c r="G231" s="5" t="n"/>
    </row>
    <row r="232">
      <c r="A232" s="5" t="b">
        <v>1</v>
      </c>
      <c r="B232" s="5" t="n"/>
      <c r="C232" s="5" t="n"/>
      <c r="D232" s="5" t="n"/>
      <c r="E232" s="5" t="n"/>
      <c r="F232" s="5" t="n"/>
      <c r="G232" s="5" t="n"/>
    </row>
  </sheetData>
  <dataValidations count="2">
    <dataValidation sqref="A33:A232" showDropDown="0" showInputMessage="0" showErrorMessage="0" allowBlank="0" type="list">
      <formula1>"TRUE,FALSE"</formula1>
    </dataValidation>
    <dataValidation sqref="E33:E232" showDropDown="0" showInputMessage="0" showErrorMessage="0" allowBlank="1" type="list">
      <formula1>=tblHouseholds[Household_ID]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20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6" t="inlineStr">
        <is>
          <t>Input: Account-level period outputs (paste from Deliverable 1)</t>
        </is>
      </c>
    </row>
    <row r="3">
      <c r="A3" s="4" t="inlineStr">
        <is>
          <t>Account_ID</t>
        </is>
      </c>
      <c r="B3" s="4" t="inlineStr">
        <is>
          <t>Period_Start</t>
        </is>
      </c>
      <c r="C3" s="4" t="inlineStr">
        <is>
          <t>Period_End</t>
        </is>
      </c>
      <c r="D3" s="4" t="inlineStr">
        <is>
          <t>Begin_Balance_Base</t>
        </is>
      </c>
      <c r="E3" s="4" t="inlineStr">
        <is>
          <t>End_Balance_Base</t>
        </is>
      </c>
      <c r="F3" s="4" t="inlineStr">
        <is>
          <t>Net_Contrib_Base</t>
        </is>
      </c>
      <c r="G3" s="4" t="inlineStr">
        <is>
          <t>Income_Interest_Base</t>
        </is>
      </c>
      <c r="H3" s="4" t="inlineStr">
        <is>
          <t>Income_Dividends_Base</t>
        </is>
      </c>
      <c r="I3" s="4" t="inlineStr">
        <is>
          <t>Income_Other_Base</t>
        </is>
      </c>
      <c r="J3" s="4" t="inlineStr">
        <is>
          <t>Realized_GL_Base</t>
        </is>
      </c>
      <c r="K3" s="4" t="inlineStr">
        <is>
          <t>Fees_Base</t>
        </is>
      </c>
      <c r="L3" s="4" t="inlineStr">
        <is>
          <t>Taxes_Base</t>
        </is>
      </c>
      <c r="M3" s="4" t="inlineStr">
        <is>
          <t>Return_Period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</row>
  </sheetData>
  <dataValidations count="1">
    <dataValidation sqref="A4:A2003 A4:A5003" showDropDown="0" showInputMessage="0" showErrorMessage="0" allowBlank="1" type="list">
      <formula1>=tblAccounts[Account_ID]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6" customWidth="1" min="5" max="5"/>
    <col width="10" customWidth="1" min="6" max="6"/>
    <col width="18" customWidth="1" min="7" max="7"/>
    <col width="18" customWidth="1" min="8" max="8"/>
    <col width="20" customWidth="1" min="9" max="9"/>
    <col width="18" customWidth="1" min="10" max="10"/>
    <col width="16" customWidth="1" min="11" max="11"/>
    <col width="22" customWidth="1" min="12" max="12"/>
  </cols>
  <sheetData>
    <row r="1">
      <c r="A1" s="6" t="inlineStr">
        <is>
          <t>Optional input: Security-level outputs (for security→account→household drill-down)</t>
        </is>
      </c>
    </row>
    <row r="3">
      <c r="A3" s="4" t="inlineStr">
        <is>
          <t>Account_ID</t>
        </is>
      </c>
      <c r="B3" s="4" t="inlineStr">
        <is>
          <t>AsOfDate</t>
        </is>
      </c>
      <c r="C3" s="4" t="inlineStr">
        <is>
          <t>Security_ID</t>
        </is>
      </c>
      <c r="D3" s="4" t="inlineStr">
        <is>
          <t>Security_Name</t>
        </is>
      </c>
      <c r="E3" s="4" t="inlineStr">
        <is>
          <t>Asset_Class</t>
        </is>
      </c>
      <c r="F3" s="4" t="inlineStr">
        <is>
          <t>Currency</t>
        </is>
      </c>
      <c r="G3" s="4" t="inlineStr">
        <is>
          <t>Market_Value_Base</t>
        </is>
      </c>
      <c r="H3" s="4" t="inlineStr">
        <is>
          <t>Income_Interest_Base</t>
        </is>
      </c>
      <c r="I3" s="4" t="inlineStr">
        <is>
          <t>Income_Dividends_Base</t>
        </is>
      </c>
      <c r="J3" s="4" t="inlineStr">
        <is>
          <t>Income_Other_Base</t>
        </is>
      </c>
      <c r="K3" s="4" t="inlineStr">
        <is>
          <t>Realized_GL_Base</t>
        </is>
      </c>
      <c r="L3" s="4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</row>
    <row r="3000">
      <c r="A3000" s="5" t="n"/>
      <c r="B3000" s="5" t="n"/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</row>
    <row r="3001">
      <c r="A3001" s="5" t="n"/>
      <c r="B3001" s="5" t="n"/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</row>
    <row r="3004">
      <c r="A3004" s="5" t="n"/>
      <c r="B3004" s="5" t="n"/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</row>
    <row r="3005">
      <c r="A3005" s="5" t="n"/>
      <c r="B3005" s="5" t="n"/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</row>
    <row r="3006">
      <c r="A3006" s="5" t="n"/>
      <c r="B3006" s="5" t="n"/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</row>
    <row r="3007">
      <c r="A3007" s="5" t="n"/>
      <c r="B3007" s="5" t="n"/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</row>
    <row r="3008">
      <c r="A3008" s="5" t="n"/>
      <c r="B3008" s="5" t="n"/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</row>
    <row r="3009">
      <c r="A3009" s="5" t="n"/>
      <c r="B3009" s="5" t="n"/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</row>
    <row r="3010">
      <c r="A3010" s="5" t="n"/>
      <c r="B3010" s="5" t="n"/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</row>
    <row r="3011">
      <c r="A3011" s="5" t="n"/>
      <c r="B3011" s="5" t="n"/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</row>
    <row r="3012">
      <c r="A3012" s="5" t="n"/>
      <c r="B3012" s="5" t="n"/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</row>
    <row r="3013">
      <c r="A3013" s="5" t="n"/>
      <c r="B3013" s="5" t="n"/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</row>
    <row r="3014">
      <c r="A3014" s="5" t="n"/>
      <c r="B3014" s="5" t="n"/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</row>
    <row r="3015">
      <c r="A3015" s="5" t="n"/>
      <c r="B3015" s="5" t="n"/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</row>
    <row r="3016">
      <c r="A3016" s="5" t="n"/>
      <c r="B3016" s="5" t="n"/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</row>
    <row r="3019">
      <c r="A3019" s="5" t="n"/>
      <c r="B3019" s="5" t="n"/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</row>
    <row r="3020">
      <c r="A3020" s="5" t="n"/>
      <c r="B3020" s="5" t="n"/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</row>
    <row r="3021">
      <c r="A3021" s="5" t="n"/>
      <c r="B3021" s="5" t="n"/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</row>
    <row r="3022">
      <c r="A3022" s="5" t="n"/>
      <c r="B3022" s="5" t="n"/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</row>
    <row r="3023">
      <c r="A3023" s="5" t="n"/>
      <c r="B3023" s="5" t="n"/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</row>
    <row r="3024">
      <c r="A3024" s="5" t="n"/>
      <c r="B3024" s="5" t="n"/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</row>
    <row r="3025">
      <c r="A3025" s="5" t="n"/>
      <c r="B3025" s="5" t="n"/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</row>
    <row r="3026">
      <c r="A3026" s="5" t="n"/>
      <c r="B3026" s="5" t="n"/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</row>
    <row r="3027">
      <c r="A3027" s="5" t="n"/>
      <c r="B3027" s="5" t="n"/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</row>
    <row r="3028">
      <c r="A3028" s="5" t="n"/>
      <c r="B3028" s="5" t="n"/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</row>
    <row r="3029">
      <c r="A3029" s="5" t="n"/>
      <c r="B3029" s="5" t="n"/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</row>
    <row r="3030">
      <c r="A3030" s="5" t="n"/>
      <c r="B3030" s="5" t="n"/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</row>
    <row r="3031">
      <c r="A3031" s="5" t="n"/>
      <c r="B3031" s="5" t="n"/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</row>
    <row r="3034">
      <c r="A3034" s="5" t="n"/>
      <c r="B3034" s="5" t="n"/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</row>
    <row r="3035">
      <c r="A3035" s="5" t="n"/>
      <c r="B3035" s="5" t="n"/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</row>
    <row r="3036">
      <c r="A3036" s="5" t="n"/>
      <c r="B3036" s="5" t="n"/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</row>
    <row r="3037">
      <c r="A3037" s="5" t="n"/>
      <c r="B3037" s="5" t="n"/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</row>
    <row r="3038">
      <c r="A3038" s="5" t="n"/>
      <c r="B3038" s="5" t="n"/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</row>
    <row r="3039">
      <c r="A3039" s="5" t="n"/>
      <c r="B3039" s="5" t="n"/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</row>
    <row r="3040">
      <c r="A3040" s="5" t="n"/>
      <c r="B3040" s="5" t="n"/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</row>
    <row r="3041">
      <c r="A3041" s="5" t="n"/>
      <c r="B3041" s="5" t="n"/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</row>
    <row r="3042">
      <c r="A3042" s="5" t="n"/>
      <c r="B3042" s="5" t="n"/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</row>
    <row r="3043">
      <c r="A3043" s="5" t="n"/>
      <c r="B3043" s="5" t="n"/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</row>
    <row r="3044">
      <c r="A3044" s="5" t="n"/>
      <c r="B3044" s="5" t="n"/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</row>
    <row r="3045">
      <c r="A3045" s="5" t="n"/>
      <c r="B3045" s="5" t="n"/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</row>
    <row r="3046">
      <c r="A3046" s="5" t="n"/>
      <c r="B3046" s="5" t="n"/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</row>
    <row r="3049">
      <c r="A3049" s="5" t="n"/>
      <c r="B3049" s="5" t="n"/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</row>
    <row r="3050">
      <c r="A3050" s="5" t="n"/>
      <c r="B3050" s="5" t="n"/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</row>
    <row r="3051">
      <c r="A3051" s="5" t="n"/>
      <c r="B3051" s="5" t="n"/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</row>
    <row r="3052">
      <c r="A3052" s="5" t="n"/>
      <c r="B3052" s="5" t="n"/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</row>
    <row r="3053">
      <c r="A3053" s="5" t="n"/>
      <c r="B3053" s="5" t="n"/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</row>
    <row r="3054">
      <c r="A3054" s="5" t="n"/>
      <c r="B3054" s="5" t="n"/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</row>
    <row r="3055">
      <c r="A3055" s="5" t="n"/>
      <c r="B3055" s="5" t="n"/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</row>
    <row r="3056">
      <c r="A3056" s="5" t="n"/>
      <c r="B3056" s="5" t="n"/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</row>
    <row r="3057">
      <c r="A3057" s="5" t="n"/>
      <c r="B3057" s="5" t="n"/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</row>
    <row r="3058">
      <c r="A3058" s="5" t="n"/>
      <c r="B3058" s="5" t="n"/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</row>
    <row r="3059">
      <c r="A3059" s="5" t="n"/>
      <c r="B3059" s="5" t="n"/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</row>
    <row r="3060">
      <c r="A3060" s="5" t="n"/>
      <c r="B3060" s="5" t="n"/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</row>
    <row r="3061">
      <c r="A3061" s="5" t="n"/>
      <c r="B3061" s="5" t="n"/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</row>
    <row r="3064">
      <c r="A3064" s="5" t="n"/>
      <c r="B3064" s="5" t="n"/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</row>
    <row r="3065">
      <c r="A3065" s="5" t="n"/>
      <c r="B3065" s="5" t="n"/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</row>
    <row r="3066">
      <c r="A3066" s="5" t="n"/>
      <c r="B3066" s="5" t="n"/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</row>
    <row r="3067">
      <c r="A3067" s="5" t="n"/>
      <c r="B3067" s="5" t="n"/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</row>
    <row r="3068">
      <c r="A3068" s="5" t="n"/>
      <c r="B3068" s="5" t="n"/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</row>
    <row r="3069">
      <c r="A3069" s="5" t="n"/>
      <c r="B3069" s="5" t="n"/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</row>
    <row r="3070">
      <c r="A3070" s="5" t="n"/>
      <c r="B3070" s="5" t="n"/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</row>
    <row r="3071">
      <c r="A3071" s="5" t="n"/>
      <c r="B3071" s="5" t="n"/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</row>
    <row r="3072">
      <c r="A3072" s="5" t="n"/>
      <c r="B3072" s="5" t="n"/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</row>
    <row r="3073">
      <c r="A3073" s="5" t="n"/>
      <c r="B3073" s="5" t="n"/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</row>
    <row r="3074">
      <c r="A3074" s="5" t="n"/>
      <c r="B3074" s="5" t="n"/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</row>
    <row r="3075">
      <c r="A3075" s="5" t="n"/>
      <c r="B3075" s="5" t="n"/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</row>
    <row r="3076">
      <c r="A3076" s="5" t="n"/>
      <c r="B3076" s="5" t="n"/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</row>
    <row r="3079">
      <c r="A3079" s="5" t="n"/>
      <c r="B3079" s="5" t="n"/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</row>
    <row r="3080">
      <c r="A3080" s="5" t="n"/>
      <c r="B3080" s="5" t="n"/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</row>
    <row r="3081">
      <c r="A3081" s="5" t="n"/>
      <c r="B3081" s="5" t="n"/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</row>
    <row r="3082">
      <c r="A3082" s="5" t="n"/>
      <c r="B3082" s="5" t="n"/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</row>
    <row r="3083">
      <c r="A3083" s="5" t="n"/>
      <c r="B3083" s="5" t="n"/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</row>
    <row r="3084">
      <c r="A3084" s="5" t="n"/>
      <c r="B3084" s="5" t="n"/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</row>
    <row r="3085">
      <c r="A3085" s="5" t="n"/>
      <c r="B3085" s="5" t="n"/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</row>
    <row r="3086">
      <c r="A3086" s="5" t="n"/>
      <c r="B3086" s="5" t="n"/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</row>
    <row r="3087">
      <c r="A3087" s="5" t="n"/>
      <c r="B3087" s="5" t="n"/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</row>
    <row r="3088">
      <c r="A3088" s="5" t="n"/>
      <c r="B3088" s="5" t="n"/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</row>
    <row r="3089">
      <c r="A3089" s="5" t="n"/>
      <c r="B3089" s="5" t="n"/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</row>
    <row r="3090">
      <c r="A3090" s="5" t="n"/>
      <c r="B3090" s="5" t="n"/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</row>
    <row r="3091">
      <c r="A3091" s="5" t="n"/>
      <c r="B3091" s="5" t="n"/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</row>
    <row r="3094">
      <c r="A3094" s="5" t="n"/>
      <c r="B3094" s="5" t="n"/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</row>
    <row r="3095">
      <c r="A3095" s="5" t="n"/>
      <c r="B3095" s="5" t="n"/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</row>
    <row r="3096">
      <c r="A3096" s="5" t="n"/>
      <c r="B3096" s="5" t="n"/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</row>
    <row r="3097">
      <c r="A3097" s="5" t="n"/>
      <c r="B3097" s="5" t="n"/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</row>
    <row r="3098">
      <c r="A3098" s="5" t="n"/>
      <c r="B3098" s="5" t="n"/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</row>
    <row r="3099">
      <c r="A3099" s="5" t="n"/>
      <c r="B3099" s="5" t="n"/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</row>
    <row r="3100">
      <c r="A3100" s="5" t="n"/>
      <c r="B3100" s="5" t="n"/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</row>
    <row r="3101">
      <c r="A3101" s="5" t="n"/>
      <c r="B3101" s="5" t="n"/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</row>
    <row r="3102">
      <c r="A3102" s="5" t="n"/>
      <c r="B3102" s="5" t="n"/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</row>
    <row r="3103">
      <c r="A3103" s="5" t="n"/>
      <c r="B3103" s="5" t="n"/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</row>
    <row r="3104">
      <c r="A3104" s="5" t="n"/>
      <c r="B3104" s="5" t="n"/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</row>
    <row r="3105">
      <c r="A3105" s="5" t="n"/>
      <c r="B3105" s="5" t="n"/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</row>
    <row r="3106">
      <c r="A3106" s="5" t="n"/>
      <c r="B3106" s="5" t="n"/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</row>
    <row r="3109">
      <c r="A3109" s="5" t="n"/>
      <c r="B3109" s="5" t="n"/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</row>
    <row r="3110">
      <c r="A3110" s="5" t="n"/>
      <c r="B3110" s="5" t="n"/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</row>
    <row r="3111">
      <c r="A3111" s="5" t="n"/>
      <c r="B3111" s="5" t="n"/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</row>
    <row r="3112">
      <c r="A3112" s="5" t="n"/>
      <c r="B3112" s="5" t="n"/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</row>
    <row r="3113">
      <c r="A3113" s="5" t="n"/>
      <c r="B3113" s="5" t="n"/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</row>
    <row r="3114">
      <c r="A3114" s="5" t="n"/>
      <c r="B3114" s="5" t="n"/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</row>
    <row r="3115">
      <c r="A3115" s="5" t="n"/>
      <c r="B3115" s="5" t="n"/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</row>
    <row r="3116">
      <c r="A3116" s="5" t="n"/>
      <c r="B3116" s="5" t="n"/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</row>
    <row r="3117">
      <c r="A3117" s="5" t="n"/>
      <c r="B3117" s="5" t="n"/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</row>
    <row r="3118">
      <c r="A3118" s="5" t="n"/>
      <c r="B3118" s="5" t="n"/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</row>
    <row r="3119">
      <c r="A3119" s="5" t="n"/>
      <c r="B3119" s="5" t="n"/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</row>
    <row r="3120">
      <c r="A3120" s="5" t="n"/>
      <c r="B3120" s="5" t="n"/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</row>
    <row r="3121">
      <c r="A3121" s="5" t="n"/>
      <c r="B3121" s="5" t="n"/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</row>
    <row r="3124">
      <c r="A3124" s="5" t="n"/>
      <c r="B3124" s="5" t="n"/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</row>
    <row r="3125">
      <c r="A3125" s="5" t="n"/>
      <c r="B3125" s="5" t="n"/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</row>
    <row r="3126">
      <c r="A3126" s="5" t="n"/>
      <c r="B3126" s="5" t="n"/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</row>
    <row r="3127">
      <c r="A3127" s="5" t="n"/>
      <c r="B3127" s="5" t="n"/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</row>
    <row r="3128">
      <c r="A3128" s="5" t="n"/>
      <c r="B3128" s="5" t="n"/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</row>
    <row r="3129">
      <c r="A3129" s="5" t="n"/>
      <c r="B3129" s="5" t="n"/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</row>
    <row r="3130">
      <c r="A3130" s="5" t="n"/>
      <c r="B3130" s="5" t="n"/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</row>
    <row r="3131">
      <c r="A3131" s="5" t="n"/>
      <c r="B3131" s="5" t="n"/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</row>
    <row r="3132">
      <c r="A3132" s="5" t="n"/>
      <c r="B3132" s="5" t="n"/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</row>
    <row r="3133">
      <c r="A3133" s="5" t="n"/>
      <c r="B3133" s="5" t="n"/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</row>
    <row r="3134">
      <c r="A3134" s="5" t="n"/>
      <c r="B3134" s="5" t="n"/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</row>
    <row r="3135">
      <c r="A3135" s="5" t="n"/>
      <c r="B3135" s="5" t="n"/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</row>
    <row r="3136">
      <c r="A3136" s="5" t="n"/>
      <c r="B3136" s="5" t="n"/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</row>
    <row r="3139">
      <c r="A3139" s="5" t="n"/>
      <c r="B3139" s="5" t="n"/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</row>
    <row r="3140">
      <c r="A3140" s="5" t="n"/>
      <c r="B3140" s="5" t="n"/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</row>
    <row r="3141">
      <c r="A3141" s="5" t="n"/>
      <c r="B3141" s="5" t="n"/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</row>
    <row r="3142">
      <c r="A3142" s="5" t="n"/>
      <c r="B3142" s="5" t="n"/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</row>
    <row r="3143">
      <c r="A3143" s="5" t="n"/>
      <c r="B3143" s="5" t="n"/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</row>
    <row r="3144">
      <c r="A3144" s="5" t="n"/>
      <c r="B3144" s="5" t="n"/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</row>
    <row r="3145">
      <c r="A3145" s="5" t="n"/>
      <c r="B3145" s="5" t="n"/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</row>
    <row r="3146">
      <c r="A3146" s="5" t="n"/>
      <c r="B3146" s="5" t="n"/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</row>
    <row r="3147">
      <c r="A3147" s="5" t="n"/>
      <c r="B3147" s="5" t="n"/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</row>
    <row r="3148">
      <c r="A3148" s="5" t="n"/>
      <c r="B3148" s="5" t="n"/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</row>
    <row r="3149">
      <c r="A3149" s="5" t="n"/>
      <c r="B3149" s="5" t="n"/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</row>
    <row r="3150">
      <c r="A3150" s="5" t="n"/>
      <c r="B3150" s="5" t="n"/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</row>
    <row r="3151">
      <c r="A3151" s="5" t="n"/>
      <c r="B3151" s="5" t="n"/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</row>
    <row r="3154">
      <c r="A3154" s="5" t="n"/>
      <c r="B3154" s="5" t="n"/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</row>
    <row r="3155">
      <c r="A3155" s="5" t="n"/>
      <c r="B3155" s="5" t="n"/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</row>
    <row r="3156">
      <c r="A3156" s="5" t="n"/>
      <c r="B3156" s="5" t="n"/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</row>
    <row r="3157">
      <c r="A3157" s="5" t="n"/>
      <c r="B3157" s="5" t="n"/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</row>
    <row r="3158">
      <c r="A3158" s="5" t="n"/>
      <c r="B3158" s="5" t="n"/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</row>
    <row r="3159">
      <c r="A3159" s="5" t="n"/>
      <c r="B3159" s="5" t="n"/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</row>
    <row r="3160">
      <c r="A3160" s="5" t="n"/>
      <c r="B3160" s="5" t="n"/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</row>
    <row r="3161">
      <c r="A3161" s="5" t="n"/>
      <c r="B3161" s="5" t="n"/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</row>
    <row r="3162">
      <c r="A3162" s="5" t="n"/>
      <c r="B3162" s="5" t="n"/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</row>
    <row r="3163">
      <c r="A3163" s="5" t="n"/>
      <c r="B3163" s="5" t="n"/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</row>
    <row r="3164">
      <c r="A3164" s="5" t="n"/>
      <c r="B3164" s="5" t="n"/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</row>
    <row r="3165">
      <c r="A3165" s="5" t="n"/>
      <c r="B3165" s="5" t="n"/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</row>
    <row r="3166">
      <c r="A3166" s="5" t="n"/>
      <c r="B3166" s="5" t="n"/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</row>
    <row r="3169">
      <c r="A3169" s="5" t="n"/>
      <c r="B3169" s="5" t="n"/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</row>
    <row r="3170">
      <c r="A3170" s="5" t="n"/>
      <c r="B3170" s="5" t="n"/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</row>
    <row r="3171">
      <c r="A3171" s="5" t="n"/>
      <c r="B3171" s="5" t="n"/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</row>
    <row r="3172">
      <c r="A3172" s="5" t="n"/>
      <c r="B3172" s="5" t="n"/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</row>
    <row r="3173">
      <c r="A3173" s="5" t="n"/>
      <c r="B3173" s="5" t="n"/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</row>
    <row r="3174">
      <c r="A3174" s="5" t="n"/>
      <c r="B3174" s="5" t="n"/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</row>
    <row r="3175">
      <c r="A3175" s="5" t="n"/>
      <c r="B3175" s="5" t="n"/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</row>
    <row r="3176">
      <c r="A3176" s="5" t="n"/>
      <c r="B3176" s="5" t="n"/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</row>
    <row r="3177">
      <c r="A3177" s="5" t="n"/>
      <c r="B3177" s="5" t="n"/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</row>
    <row r="3178">
      <c r="A3178" s="5" t="n"/>
      <c r="B3178" s="5" t="n"/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</row>
    <row r="3179">
      <c r="A3179" s="5" t="n"/>
      <c r="B3179" s="5" t="n"/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</row>
    <row r="3180">
      <c r="A3180" s="5" t="n"/>
      <c r="B3180" s="5" t="n"/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</row>
    <row r="3181">
      <c r="A3181" s="5" t="n"/>
      <c r="B3181" s="5" t="n"/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</row>
    <row r="3184">
      <c r="A3184" s="5" t="n"/>
      <c r="B3184" s="5" t="n"/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</row>
    <row r="3185">
      <c r="A3185" s="5" t="n"/>
      <c r="B3185" s="5" t="n"/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</row>
    <row r="3186">
      <c r="A3186" s="5" t="n"/>
      <c r="B3186" s="5" t="n"/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</row>
    <row r="3187">
      <c r="A3187" s="5" t="n"/>
      <c r="B3187" s="5" t="n"/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</row>
    <row r="3188">
      <c r="A3188" s="5" t="n"/>
      <c r="B3188" s="5" t="n"/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</row>
    <row r="3189">
      <c r="A3189" s="5" t="n"/>
      <c r="B3189" s="5" t="n"/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</row>
    <row r="3190">
      <c r="A3190" s="5" t="n"/>
      <c r="B3190" s="5" t="n"/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</row>
    <row r="3191">
      <c r="A3191" s="5" t="n"/>
      <c r="B3191" s="5" t="n"/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</row>
    <row r="3192">
      <c r="A3192" s="5" t="n"/>
      <c r="B3192" s="5" t="n"/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</row>
    <row r="3193">
      <c r="A3193" s="5" t="n"/>
      <c r="B3193" s="5" t="n"/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</row>
    <row r="3194">
      <c r="A3194" s="5" t="n"/>
      <c r="B3194" s="5" t="n"/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</row>
    <row r="3195">
      <c r="A3195" s="5" t="n"/>
      <c r="B3195" s="5" t="n"/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</row>
    <row r="3196">
      <c r="A3196" s="5" t="n"/>
      <c r="B3196" s="5" t="n"/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</row>
    <row r="3199">
      <c r="A3199" s="5" t="n"/>
      <c r="B3199" s="5" t="n"/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</row>
    <row r="3200">
      <c r="A3200" s="5" t="n"/>
      <c r="B3200" s="5" t="n"/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</row>
    <row r="3201">
      <c r="A3201" s="5" t="n"/>
      <c r="B3201" s="5" t="n"/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</row>
    <row r="3202">
      <c r="A3202" s="5" t="n"/>
      <c r="B3202" s="5" t="n"/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</row>
    <row r="3203">
      <c r="A3203" s="5" t="n"/>
      <c r="B3203" s="5" t="n"/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</row>
    <row r="3204">
      <c r="A3204" s="5" t="n"/>
      <c r="B3204" s="5" t="n"/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</row>
    <row r="3205">
      <c r="A3205" s="5" t="n"/>
      <c r="B3205" s="5" t="n"/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</row>
    <row r="3206">
      <c r="A3206" s="5" t="n"/>
      <c r="B3206" s="5" t="n"/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</row>
    <row r="3207">
      <c r="A3207" s="5" t="n"/>
      <c r="B3207" s="5" t="n"/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</row>
    <row r="3208">
      <c r="A3208" s="5" t="n"/>
      <c r="B3208" s="5" t="n"/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</row>
    <row r="3209">
      <c r="A3209" s="5" t="n"/>
      <c r="B3209" s="5" t="n"/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</row>
    <row r="3210">
      <c r="A3210" s="5" t="n"/>
      <c r="B3210" s="5" t="n"/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</row>
    <row r="3211">
      <c r="A3211" s="5" t="n"/>
      <c r="B3211" s="5" t="n"/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</row>
    <row r="3214">
      <c r="A3214" s="5" t="n"/>
      <c r="B3214" s="5" t="n"/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</row>
    <row r="3215">
      <c r="A3215" s="5" t="n"/>
      <c r="B3215" s="5" t="n"/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</row>
    <row r="3216">
      <c r="A3216" s="5" t="n"/>
      <c r="B3216" s="5" t="n"/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</row>
    <row r="3217">
      <c r="A3217" s="5" t="n"/>
      <c r="B3217" s="5" t="n"/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</row>
    <row r="3218">
      <c r="A3218" s="5" t="n"/>
      <c r="B3218" s="5" t="n"/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</row>
    <row r="3219">
      <c r="A3219" s="5" t="n"/>
      <c r="B3219" s="5" t="n"/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</row>
    <row r="3220">
      <c r="A3220" s="5" t="n"/>
      <c r="B3220" s="5" t="n"/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</row>
    <row r="3221">
      <c r="A3221" s="5" t="n"/>
      <c r="B3221" s="5" t="n"/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</row>
    <row r="3222">
      <c r="A3222" s="5" t="n"/>
      <c r="B3222" s="5" t="n"/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</row>
    <row r="3223">
      <c r="A3223" s="5" t="n"/>
      <c r="B3223" s="5" t="n"/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</row>
    <row r="3224">
      <c r="A3224" s="5" t="n"/>
      <c r="B3224" s="5" t="n"/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</row>
    <row r="3225">
      <c r="A3225" s="5" t="n"/>
      <c r="B3225" s="5" t="n"/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</row>
    <row r="3226">
      <c r="A3226" s="5" t="n"/>
      <c r="B3226" s="5" t="n"/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</row>
    <row r="3229">
      <c r="A3229" s="5" t="n"/>
      <c r="B3229" s="5" t="n"/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</row>
    <row r="3230">
      <c r="A3230" s="5" t="n"/>
      <c r="B3230" s="5" t="n"/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</row>
    <row r="3231">
      <c r="A3231" s="5" t="n"/>
      <c r="B3231" s="5" t="n"/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</row>
    <row r="3232">
      <c r="A3232" s="5" t="n"/>
      <c r="B3232" s="5" t="n"/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</row>
    <row r="3233">
      <c r="A3233" s="5" t="n"/>
      <c r="B3233" s="5" t="n"/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</row>
    <row r="3234">
      <c r="A3234" s="5" t="n"/>
      <c r="B3234" s="5" t="n"/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</row>
    <row r="3235">
      <c r="A3235" s="5" t="n"/>
      <c r="B3235" s="5" t="n"/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</row>
    <row r="3236">
      <c r="A3236" s="5" t="n"/>
      <c r="B3236" s="5" t="n"/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</row>
    <row r="3237">
      <c r="A3237" s="5" t="n"/>
      <c r="B3237" s="5" t="n"/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</row>
    <row r="3238">
      <c r="A3238" s="5" t="n"/>
      <c r="B3238" s="5" t="n"/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</row>
    <row r="3239">
      <c r="A3239" s="5" t="n"/>
      <c r="B3239" s="5" t="n"/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</row>
    <row r="3240">
      <c r="A3240" s="5" t="n"/>
      <c r="B3240" s="5" t="n"/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</row>
    <row r="3241">
      <c r="A3241" s="5" t="n"/>
      <c r="B3241" s="5" t="n"/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</row>
    <row r="3244">
      <c r="A3244" s="5" t="n"/>
      <c r="B3244" s="5" t="n"/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</row>
    <row r="3245">
      <c r="A3245" s="5" t="n"/>
      <c r="B3245" s="5" t="n"/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</row>
    <row r="3246">
      <c r="A3246" s="5" t="n"/>
      <c r="B3246" s="5" t="n"/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</row>
    <row r="3247">
      <c r="A3247" s="5" t="n"/>
      <c r="B3247" s="5" t="n"/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</row>
    <row r="3248">
      <c r="A3248" s="5" t="n"/>
      <c r="B3248" s="5" t="n"/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</row>
    <row r="3249">
      <c r="A3249" s="5" t="n"/>
      <c r="B3249" s="5" t="n"/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</row>
    <row r="3250">
      <c r="A3250" s="5" t="n"/>
      <c r="B3250" s="5" t="n"/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</row>
    <row r="3251">
      <c r="A3251" s="5" t="n"/>
      <c r="B3251" s="5" t="n"/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</row>
    <row r="3252">
      <c r="A3252" s="5" t="n"/>
      <c r="B3252" s="5" t="n"/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</row>
    <row r="3253">
      <c r="A3253" s="5" t="n"/>
      <c r="B3253" s="5" t="n"/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</row>
    <row r="3254">
      <c r="A3254" s="5" t="n"/>
      <c r="B3254" s="5" t="n"/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</row>
    <row r="3255">
      <c r="A3255" s="5" t="n"/>
      <c r="B3255" s="5" t="n"/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</row>
    <row r="3256">
      <c r="A3256" s="5" t="n"/>
      <c r="B3256" s="5" t="n"/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</row>
    <row r="3259">
      <c r="A3259" s="5" t="n"/>
      <c r="B3259" s="5" t="n"/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</row>
    <row r="3260">
      <c r="A3260" s="5" t="n"/>
      <c r="B3260" s="5" t="n"/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</row>
    <row r="3261">
      <c r="A3261" s="5" t="n"/>
      <c r="B3261" s="5" t="n"/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</row>
    <row r="3262">
      <c r="A3262" s="5" t="n"/>
      <c r="B3262" s="5" t="n"/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</row>
    <row r="3263">
      <c r="A3263" s="5" t="n"/>
      <c r="B3263" s="5" t="n"/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</row>
    <row r="3264">
      <c r="A3264" s="5" t="n"/>
      <c r="B3264" s="5" t="n"/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</row>
    <row r="3265">
      <c r="A3265" s="5" t="n"/>
      <c r="B3265" s="5" t="n"/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</row>
    <row r="3266">
      <c r="A3266" s="5" t="n"/>
      <c r="B3266" s="5" t="n"/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</row>
    <row r="3267">
      <c r="A3267" s="5" t="n"/>
      <c r="B3267" s="5" t="n"/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</row>
    <row r="3268">
      <c r="A3268" s="5" t="n"/>
      <c r="B3268" s="5" t="n"/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</row>
    <row r="3269">
      <c r="A3269" s="5" t="n"/>
      <c r="B3269" s="5" t="n"/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</row>
    <row r="3270">
      <c r="A3270" s="5" t="n"/>
      <c r="B3270" s="5" t="n"/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</row>
    <row r="3271">
      <c r="A3271" s="5" t="n"/>
      <c r="B3271" s="5" t="n"/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</row>
    <row r="3274">
      <c r="A3274" s="5" t="n"/>
      <c r="B3274" s="5" t="n"/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</row>
    <row r="3275">
      <c r="A3275" s="5" t="n"/>
      <c r="B3275" s="5" t="n"/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</row>
    <row r="3276">
      <c r="A3276" s="5" t="n"/>
      <c r="B3276" s="5" t="n"/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</row>
    <row r="3277">
      <c r="A3277" s="5" t="n"/>
      <c r="B3277" s="5" t="n"/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</row>
    <row r="3278">
      <c r="A3278" s="5" t="n"/>
      <c r="B3278" s="5" t="n"/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</row>
    <row r="3279">
      <c r="A3279" s="5" t="n"/>
      <c r="B3279" s="5" t="n"/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</row>
    <row r="3280">
      <c r="A3280" s="5" t="n"/>
      <c r="B3280" s="5" t="n"/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</row>
    <row r="3281">
      <c r="A3281" s="5" t="n"/>
      <c r="B3281" s="5" t="n"/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</row>
    <row r="3282">
      <c r="A3282" s="5" t="n"/>
      <c r="B3282" s="5" t="n"/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</row>
    <row r="3283">
      <c r="A3283" s="5" t="n"/>
      <c r="B3283" s="5" t="n"/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</row>
    <row r="3284">
      <c r="A3284" s="5" t="n"/>
      <c r="B3284" s="5" t="n"/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</row>
    <row r="3285">
      <c r="A3285" s="5" t="n"/>
      <c r="B3285" s="5" t="n"/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</row>
    <row r="3286">
      <c r="A3286" s="5" t="n"/>
      <c r="B3286" s="5" t="n"/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</row>
    <row r="3289">
      <c r="A3289" s="5" t="n"/>
      <c r="B3289" s="5" t="n"/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</row>
    <row r="3290">
      <c r="A3290" s="5" t="n"/>
      <c r="B3290" s="5" t="n"/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</row>
    <row r="3291">
      <c r="A3291" s="5" t="n"/>
      <c r="B3291" s="5" t="n"/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</row>
    <row r="3292">
      <c r="A3292" s="5" t="n"/>
      <c r="B3292" s="5" t="n"/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</row>
    <row r="3293">
      <c r="A3293" s="5" t="n"/>
      <c r="B3293" s="5" t="n"/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</row>
    <row r="3294">
      <c r="A3294" s="5" t="n"/>
      <c r="B3294" s="5" t="n"/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</row>
    <row r="3295">
      <c r="A3295" s="5" t="n"/>
      <c r="B3295" s="5" t="n"/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</row>
    <row r="3296">
      <c r="A3296" s="5" t="n"/>
      <c r="B3296" s="5" t="n"/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</row>
    <row r="3297">
      <c r="A3297" s="5" t="n"/>
      <c r="B3297" s="5" t="n"/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</row>
    <row r="3298">
      <c r="A3298" s="5" t="n"/>
      <c r="B3298" s="5" t="n"/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</row>
    <row r="3299">
      <c r="A3299" s="5" t="n"/>
      <c r="B3299" s="5" t="n"/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</row>
    <row r="3300">
      <c r="A3300" s="5" t="n"/>
      <c r="B3300" s="5" t="n"/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</row>
    <row r="3301">
      <c r="A3301" s="5" t="n"/>
      <c r="B3301" s="5" t="n"/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</row>
    <row r="3304">
      <c r="A3304" s="5" t="n"/>
      <c r="B3304" s="5" t="n"/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</row>
    <row r="3305">
      <c r="A3305" s="5" t="n"/>
      <c r="B3305" s="5" t="n"/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</row>
    <row r="3306">
      <c r="A3306" s="5" t="n"/>
      <c r="B3306" s="5" t="n"/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</row>
    <row r="3307">
      <c r="A3307" s="5" t="n"/>
      <c r="B3307" s="5" t="n"/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</row>
    <row r="3308">
      <c r="A3308" s="5" t="n"/>
      <c r="B3308" s="5" t="n"/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</row>
    <row r="3309">
      <c r="A3309" s="5" t="n"/>
      <c r="B3309" s="5" t="n"/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</row>
    <row r="3310">
      <c r="A3310" s="5" t="n"/>
      <c r="B3310" s="5" t="n"/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</row>
    <row r="3311">
      <c r="A3311" s="5" t="n"/>
      <c r="B3311" s="5" t="n"/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</row>
    <row r="3312">
      <c r="A3312" s="5" t="n"/>
      <c r="B3312" s="5" t="n"/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</row>
    <row r="3313">
      <c r="A3313" s="5" t="n"/>
      <c r="B3313" s="5" t="n"/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</row>
    <row r="3314">
      <c r="A3314" s="5" t="n"/>
      <c r="B3314" s="5" t="n"/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</row>
    <row r="3315">
      <c r="A3315" s="5" t="n"/>
      <c r="B3315" s="5" t="n"/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</row>
    <row r="3316">
      <c r="A3316" s="5" t="n"/>
      <c r="B3316" s="5" t="n"/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</row>
    <row r="3319">
      <c r="A3319" s="5" t="n"/>
      <c r="B3319" s="5" t="n"/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</row>
    <row r="3320">
      <c r="A3320" s="5" t="n"/>
      <c r="B3320" s="5" t="n"/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</row>
    <row r="3321">
      <c r="A3321" s="5" t="n"/>
      <c r="B3321" s="5" t="n"/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</row>
    <row r="3322">
      <c r="A3322" s="5" t="n"/>
      <c r="B3322" s="5" t="n"/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</row>
    <row r="3323">
      <c r="A3323" s="5" t="n"/>
      <c r="B3323" s="5" t="n"/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</row>
    <row r="3324">
      <c r="A3324" s="5" t="n"/>
      <c r="B3324" s="5" t="n"/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</row>
    <row r="3325">
      <c r="A3325" s="5" t="n"/>
      <c r="B3325" s="5" t="n"/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</row>
    <row r="3326">
      <c r="A3326" s="5" t="n"/>
      <c r="B3326" s="5" t="n"/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</row>
    <row r="3327">
      <c r="A3327" s="5" t="n"/>
      <c r="B3327" s="5" t="n"/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</row>
    <row r="3328">
      <c r="A3328" s="5" t="n"/>
      <c r="B3328" s="5" t="n"/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</row>
    <row r="3329">
      <c r="A3329" s="5" t="n"/>
      <c r="B3329" s="5" t="n"/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</row>
    <row r="3330">
      <c r="A3330" s="5" t="n"/>
      <c r="B3330" s="5" t="n"/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</row>
    <row r="3331">
      <c r="A3331" s="5" t="n"/>
      <c r="B3331" s="5" t="n"/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</row>
    <row r="3334">
      <c r="A3334" s="5" t="n"/>
      <c r="B3334" s="5" t="n"/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</row>
    <row r="3335">
      <c r="A3335" s="5" t="n"/>
      <c r="B3335" s="5" t="n"/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</row>
    <row r="3336">
      <c r="A3336" s="5" t="n"/>
      <c r="B3336" s="5" t="n"/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</row>
    <row r="3337">
      <c r="A3337" s="5" t="n"/>
      <c r="B3337" s="5" t="n"/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</row>
    <row r="3338">
      <c r="A3338" s="5" t="n"/>
      <c r="B3338" s="5" t="n"/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</row>
    <row r="3339">
      <c r="A3339" s="5" t="n"/>
      <c r="B3339" s="5" t="n"/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</row>
    <row r="3340">
      <c r="A3340" s="5" t="n"/>
      <c r="B3340" s="5" t="n"/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</row>
    <row r="3341">
      <c r="A3341" s="5" t="n"/>
      <c r="B3341" s="5" t="n"/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</row>
    <row r="3342">
      <c r="A3342" s="5" t="n"/>
      <c r="B3342" s="5" t="n"/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</row>
    <row r="3343">
      <c r="A3343" s="5" t="n"/>
      <c r="B3343" s="5" t="n"/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</row>
    <row r="3344">
      <c r="A3344" s="5" t="n"/>
      <c r="B3344" s="5" t="n"/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</row>
    <row r="3345">
      <c r="A3345" s="5" t="n"/>
      <c r="B3345" s="5" t="n"/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</row>
    <row r="3346">
      <c r="A3346" s="5" t="n"/>
      <c r="B3346" s="5" t="n"/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</row>
    <row r="3349">
      <c r="A3349" s="5" t="n"/>
      <c r="B3349" s="5" t="n"/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</row>
    <row r="3350">
      <c r="A3350" s="5" t="n"/>
      <c r="B3350" s="5" t="n"/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</row>
    <row r="3351">
      <c r="A3351" s="5" t="n"/>
      <c r="B3351" s="5" t="n"/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</row>
    <row r="3352">
      <c r="A3352" s="5" t="n"/>
      <c r="B3352" s="5" t="n"/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</row>
    <row r="3353">
      <c r="A3353" s="5" t="n"/>
      <c r="B3353" s="5" t="n"/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</row>
    <row r="3354">
      <c r="A3354" s="5" t="n"/>
      <c r="B3354" s="5" t="n"/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</row>
    <row r="3355">
      <c r="A3355" s="5" t="n"/>
      <c r="B3355" s="5" t="n"/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</row>
    <row r="3356">
      <c r="A3356" s="5" t="n"/>
      <c r="B3356" s="5" t="n"/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</row>
    <row r="3357">
      <c r="A3357" s="5" t="n"/>
      <c r="B3357" s="5" t="n"/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</row>
    <row r="3358">
      <c r="A3358" s="5" t="n"/>
      <c r="B3358" s="5" t="n"/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</row>
    <row r="3359">
      <c r="A3359" s="5" t="n"/>
      <c r="B3359" s="5" t="n"/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</row>
    <row r="3360">
      <c r="A3360" s="5" t="n"/>
      <c r="B3360" s="5" t="n"/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</row>
    <row r="3361">
      <c r="A3361" s="5" t="n"/>
      <c r="B3361" s="5" t="n"/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</row>
    <row r="3364">
      <c r="A3364" s="5" t="n"/>
      <c r="B3364" s="5" t="n"/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</row>
    <row r="3365">
      <c r="A3365" s="5" t="n"/>
      <c r="B3365" s="5" t="n"/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</row>
    <row r="3366">
      <c r="A3366" s="5" t="n"/>
      <c r="B3366" s="5" t="n"/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</row>
    <row r="3367">
      <c r="A3367" s="5" t="n"/>
      <c r="B3367" s="5" t="n"/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</row>
    <row r="3368">
      <c r="A3368" s="5" t="n"/>
      <c r="B3368" s="5" t="n"/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</row>
    <row r="3369">
      <c r="A3369" s="5" t="n"/>
      <c r="B3369" s="5" t="n"/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</row>
    <row r="3370">
      <c r="A3370" s="5" t="n"/>
      <c r="B3370" s="5" t="n"/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</row>
    <row r="3371">
      <c r="A3371" s="5" t="n"/>
      <c r="B3371" s="5" t="n"/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</row>
    <row r="3372">
      <c r="A3372" s="5" t="n"/>
      <c r="B3372" s="5" t="n"/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</row>
    <row r="3373">
      <c r="A3373" s="5" t="n"/>
      <c r="B3373" s="5" t="n"/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</row>
    <row r="3374">
      <c r="A3374" s="5" t="n"/>
      <c r="B3374" s="5" t="n"/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</row>
    <row r="3375">
      <c r="A3375" s="5" t="n"/>
      <c r="B3375" s="5" t="n"/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</row>
    <row r="3376">
      <c r="A3376" s="5" t="n"/>
      <c r="B3376" s="5" t="n"/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</row>
    <row r="3379">
      <c r="A3379" s="5" t="n"/>
      <c r="B3379" s="5" t="n"/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</row>
    <row r="3380">
      <c r="A3380" s="5" t="n"/>
      <c r="B3380" s="5" t="n"/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</row>
    <row r="3381">
      <c r="A3381" s="5" t="n"/>
      <c r="B3381" s="5" t="n"/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</row>
    <row r="3382">
      <c r="A3382" s="5" t="n"/>
      <c r="B3382" s="5" t="n"/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</row>
    <row r="3383">
      <c r="A3383" s="5" t="n"/>
      <c r="B3383" s="5" t="n"/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</row>
    <row r="3384">
      <c r="A3384" s="5" t="n"/>
      <c r="B3384" s="5" t="n"/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</row>
    <row r="3385">
      <c r="A3385" s="5" t="n"/>
      <c r="B3385" s="5" t="n"/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</row>
    <row r="3386">
      <c r="A3386" s="5" t="n"/>
      <c r="B3386" s="5" t="n"/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</row>
    <row r="3387">
      <c r="A3387" s="5" t="n"/>
      <c r="B3387" s="5" t="n"/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</row>
    <row r="3388">
      <c r="A3388" s="5" t="n"/>
      <c r="B3388" s="5" t="n"/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</row>
    <row r="3389">
      <c r="A3389" s="5" t="n"/>
      <c r="B3389" s="5" t="n"/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</row>
    <row r="3390">
      <c r="A3390" s="5" t="n"/>
      <c r="B3390" s="5" t="n"/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</row>
    <row r="3391">
      <c r="A3391" s="5" t="n"/>
      <c r="B3391" s="5" t="n"/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</row>
    <row r="3394">
      <c r="A3394" s="5" t="n"/>
      <c r="B3394" s="5" t="n"/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</row>
    <row r="3395">
      <c r="A3395" s="5" t="n"/>
      <c r="B3395" s="5" t="n"/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</row>
    <row r="3396">
      <c r="A3396" s="5" t="n"/>
      <c r="B3396" s="5" t="n"/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</row>
    <row r="3397">
      <c r="A3397" s="5" t="n"/>
      <c r="B3397" s="5" t="n"/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</row>
    <row r="3398">
      <c r="A3398" s="5" t="n"/>
      <c r="B3398" s="5" t="n"/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</row>
    <row r="3399">
      <c r="A3399" s="5" t="n"/>
      <c r="B3399" s="5" t="n"/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</row>
    <row r="3400">
      <c r="A3400" s="5" t="n"/>
      <c r="B3400" s="5" t="n"/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</row>
    <row r="3401">
      <c r="A3401" s="5" t="n"/>
      <c r="B3401" s="5" t="n"/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</row>
    <row r="3402">
      <c r="A3402" s="5" t="n"/>
      <c r="B3402" s="5" t="n"/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</row>
    <row r="3403">
      <c r="A3403" s="5" t="n"/>
      <c r="B3403" s="5" t="n"/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</row>
    <row r="3404">
      <c r="A3404" s="5" t="n"/>
      <c r="B3404" s="5" t="n"/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</row>
    <row r="3405">
      <c r="A3405" s="5" t="n"/>
      <c r="B3405" s="5" t="n"/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</row>
    <row r="3406">
      <c r="A3406" s="5" t="n"/>
      <c r="B3406" s="5" t="n"/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</row>
    <row r="3409">
      <c r="A3409" s="5" t="n"/>
      <c r="B3409" s="5" t="n"/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</row>
    <row r="3410">
      <c r="A3410" s="5" t="n"/>
      <c r="B3410" s="5" t="n"/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</row>
    <row r="3411">
      <c r="A3411" s="5" t="n"/>
      <c r="B3411" s="5" t="n"/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</row>
    <row r="3412">
      <c r="A3412" s="5" t="n"/>
      <c r="B3412" s="5" t="n"/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</row>
    <row r="3413">
      <c r="A3413" s="5" t="n"/>
      <c r="B3413" s="5" t="n"/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</row>
    <row r="3414">
      <c r="A3414" s="5" t="n"/>
      <c r="B3414" s="5" t="n"/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</row>
    <row r="3415">
      <c r="A3415" s="5" t="n"/>
      <c r="B3415" s="5" t="n"/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</row>
    <row r="3416">
      <c r="A3416" s="5" t="n"/>
      <c r="B3416" s="5" t="n"/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</row>
    <row r="3417">
      <c r="A3417" s="5" t="n"/>
      <c r="B3417" s="5" t="n"/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</row>
    <row r="3418">
      <c r="A3418" s="5" t="n"/>
      <c r="B3418" s="5" t="n"/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</row>
    <row r="3419">
      <c r="A3419" s="5" t="n"/>
      <c r="B3419" s="5" t="n"/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</row>
    <row r="3420">
      <c r="A3420" s="5" t="n"/>
      <c r="B3420" s="5" t="n"/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</row>
    <row r="3421">
      <c r="A3421" s="5" t="n"/>
      <c r="B3421" s="5" t="n"/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</row>
    <row r="3424">
      <c r="A3424" s="5" t="n"/>
      <c r="B3424" s="5" t="n"/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</row>
    <row r="3425">
      <c r="A3425" s="5" t="n"/>
      <c r="B3425" s="5" t="n"/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</row>
    <row r="3426">
      <c r="A3426" s="5" t="n"/>
      <c r="B3426" s="5" t="n"/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</row>
    <row r="3427">
      <c r="A3427" s="5" t="n"/>
      <c r="B3427" s="5" t="n"/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</row>
    <row r="3428">
      <c r="A3428" s="5" t="n"/>
      <c r="B3428" s="5" t="n"/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</row>
    <row r="3429">
      <c r="A3429" s="5" t="n"/>
      <c r="B3429" s="5" t="n"/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</row>
    <row r="3430">
      <c r="A3430" s="5" t="n"/>
      <c r="B3430" s="5" t="n"/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</row>
    <row r="3431">
      <c r="A3431" s="5" t="n"/>
      <c r="B3431" s="5" t="n"/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</row>
    <row r="3432">
      <c r="A3432" s="5" t="n"/>
      <c r="B3432" s="5" t="n"/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</row>
    <row r="3433">
      <c r="A3433" s="5" t="n"/>
      <c r="B3433" s="5" t="n"/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</row>
    <row r="3434">
      <c r="A3434" s="5" t="n"/>
      <c r="B3434" s="5" t="n"/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</row>
    <row r="3435">
      <c r="A3435" s="5" t="n"/>
      <c r="B3435" s="5" t="n"/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</row>
    <row r="3436">
      <c r="A3436" s="5" t="n"/>
      <c r="B3436" s="5" t="n"/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</row>
    <row r="3439">
      <c r="A3439" s="5" t="n"/>
      <c r="B3439" s="5" t="n"/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</row>
    <row r="3440">
      <c r="A3440" s="5" t="n"/>
      <c r="B3440" s="5" t="n"/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</row>
    <row r="3441">
      <c r="A3441" s="5" t="n"/>
      <c r="B3441" s="5" t="n"/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</row>
    <row r="3442">
      <c r="A3442" s="5" t="n"/>
      <c r="B3442" s="5" t="n"/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</row>
    <row r="3443">
      <c r="A3443" s="5" t="n"/>
      <c r="B3443" s="5" t="n"/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</row>
    <row r="3444">
      <c r="A3444" s="5" t="n"/>
      <c r="B3444" s="5" t="n"/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</row>
    <row r="3445">
      <c r="A3445" s="5" t="n"/>
      <c r="B3445" s="5" t="n"/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</row>
    <row r="3446">
      <c r="A3446" s="5" t="n"/>
      <c r="B3446" s="5" t="n"/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</row>
    <row r="3447">
      <c r="A3447" s="5" t="n"/>
      <c r="B3447" s="5" t="n"/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</row>
    <row r="3448">
      <c r="A3448" s="5" t="n"/>
      <c r="B3448" s="5" t="n"/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</row>
    <row r="3449">
      <c r="A3449" s="5" t="n"/>
      <c r="B3449" s="5" t="n"/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</row>
    <row r="3450">
      <c r="A3450" s="5" t="n"/>
      <c r="B3450" s="5" t="n"/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</row>
    <row r="3451">
      <c r="A3451" s="5" t="n"/>
      <c r="B3451" s="5" t="n"/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</row>
    <row r="3454">
      <c r="A3454" s="5" t="n"/>
      <c r="B3454" s="5" t="n"/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</row>
    <row r="3455">
      <c r="A3455" s="5" t="n"/>
      <c r="B3455" s="5" t="n"/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</row>
    <row r="3456">
      <c r="A3456" s="5" t="n"/>
      <c r="B3456" s="5" t="n"/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</row>
    <row r="3457">
      <c r="A3457" s="5" t="n"/>
      <c r="B3457" s="5" t="n"/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</row>
    <row r="3458">
      <c r="A3458" s="5" t="n"/>
      <c r="B3458" s="5" t="n"/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</row>
    <row r="3459">
      <c r="A3459" s="5" t="n"/>
      <c r="B3459" s="5" t="n"/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</row>
    <row r="3460">
      <c r="A3460" s="5" t="n"/>
      <c r="B3460" s="5" t="n"/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</row>
    <row r="3461">
      <c r="A3461" s="5" t="n"/>
      <c r="B3461" s="5" t="n"/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</row>
    <row r="3462">
      <c r="A3462" s="5" t="n"/>
      <c r="B3462" s="5" t="n"/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</row>
    <row r="3463">
      <c r="A3463" s="5" t="n"/>
      <c r="B3463" s="5" t="n"/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</row>
    <row r="3464">
      <c r="A3464" s="5" t="n"/>
      <c r="B3464" s="5" t="n"/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</row>
    <row r="3465">
      <c r="A3465" s="5" t="n"/>
      <c r="B3465" s="5" t="n"/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</row>
    <row r="3466">
      <c r="A3466" s="5" t="n"/>
      <c r="B3466" s="5" t="n"/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</row>
    <row r="3469">
      <c r="A3469" s="5" t="n"/>
      <c r="B3469" s="5" t="n"/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</row>
    <row r="3470">
      <c r="A3470" s="5" t="n"/>
      <c r="B3470" s="5" t="n"/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</row>
    <row r="3471">
      <c r="A3471" s="5" t="n"/>
      <c r="B3471" s="5" t="n"/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</row>
    <row r="3472">
      <c r="A3472" s="5" t="n"/>
      <c r="B3472" s="5" t="n"/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</row>
    <row r="3473">
      <c r="A3473" s="5" t="n"/>
      <c r="B3473" s="5" t="n"/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</row>
    <row r="3474">
      <c r="A3474" s="5" t="n"/>
      <c r="B3474" s="5" t="n"/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</row>
    <row r="3475">
      <c r="A3475" s="5" t="n"/>
      <c r="B3475" s="5" t="n"/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</row>
    <row r="3476">
      <c r="A3476" s="5" t="n"/>
      <c r="B3476" s="5" t="n"/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</row>
    <row r="3477">
      <c r="A3477" s="5" t="n"/>
      <c r="B3477" s="5" t="n"/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</row>
    <row r="3478">
      <c r="A3478" s="5" t="n"/>
      <c r="B3478" s="5" t="n"/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</row>
    <row r="3479">
      <c r="A3479" s="5" t="n"/>
      <c r="B3479" s="5" t="n"/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</row>
    <row r="3480">
      <c r="A3480" s="5" t="n"/>
      <c r="B3480" s="5" t="n"/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</row>
    <row r="3481">
      <c r="A3481" s="5" t="n"/>
      <c r="B3481" s="5" t="n"/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</row>
    <row r="3484">
      <c r="A3484" s="5" t="n"/>
      <c r="B3484" s="5" t="n"/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</row>
    <row r="3485">
      <c r="A3485" s="5" t="n"/>
      <c r="B3485" s="5" t="n"/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</row>
    <row r="3486">
      <c r="A3486" s="5" t="n"/>
      <c r="B3486" s="5" t="n"/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</row>
    <row r="3487">
      <c r="A3487" s="5" t="n"/>
      <c r="B3487" s="5" t="n"/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</row>
    <row r="3488">
      <c r="A3488" s="5" t="n"/>
      <c r="B3488" s="5" t="n"/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</row>
    <row r="3489">
      <c r="A3489" s="5" t="n"/>
      <c r="B3489" s="5" t="n"/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</row>
    <row r="3490">
      <c r="A3490" s="5" t="n"/>
      <c r="B3490" s="5" t="n"/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</row>
    <row r="3491">
      <c r="A3491" s="5" t="n"/>
      <c r="B3491" s="5" t="n"/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</row>
    <row r="3492">
      <c r="A3492" s="5" t="n"/>
      <c r="B3492" s="5" t="n"/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</row>
    <row r="3493">
      <c r="A3493" s="5" t="n"/>
      <c r="B3493" s="5" t="n"/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</row>
    <row r="3494">
      <c r="A3494" s="5" t="n"/>
      <c r="B3494" s="5" t="n"/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</row>
    <row r="3495">
      <c r="A3495" s="5" t="n"/>
      <c r="B3495" s="5" t="n"/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</row>
    <row r="3496">
      <c r="A3496" s="5" t="n"/>
      <c r="B3496" s="5" t="n"/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</row>
    <row r="3499">
      <c r="A3499" s="5" t="n"/>
      <c r="B3499" s="5" t="n"/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</row>
    <row r="3500">
      <c r="A3500" s="5" t="n"/>
      <c r="B3500" s="5" t="n"/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</row>
    <row r="3501">
      <c r="A3501" s="5" t="n"/>
      <c r="B3501" s="5" t="n"/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</row>
    <row r="3502">
      <c r="A3502" s="5" t="n"/>
      <c r="B3502" s="5" t="n"/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</row>
    <row r="3503">
      <c r="A3503" s="5" t="n"/>
      <c r="B3503" s="5" t="n"/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</row>
    <row r="3504">
      <c r="A3504" s="5" t="n"/>
      <c r="B3504" s="5" t="n"/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</row>
    <row r="3505">
      <c r="A3505" s="5" t="n"/>
      <c r="B3505" s="5" t="n"/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</row>
    <row r="3506">
      <c r="A3506" s="5" t="n"/>
      <c r="B3506" s="5" t="n"/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</row>
    <row r="3507">
      <c r="A3507" s="5" t="n"/>
      <c r="B3507" s="5" t="n"/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</row>
    <row r="3508">
      <c r="A3508" s="5" t="n"/>
      <c r="B3508" s="5" t="n"/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</row>
    <row r="3509">
      <c r="A3509" s="5" t="n"/>
      <c r="B3509" s="5" t="n"/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</row>
    <row r="3510">
      <c r="A3510" s="5" t="n"/>
      <c r="B3510" s="5" t="n"/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</row>
    <row r="3511">
      <c r="A3511" s="5" t="n"/>
      <c r="B3511" s="5" t="n"/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</row>
    <row r="3514">
      <c r="A3514" s="5" t="n"/>
      <c r="B3514" s="5" t="n"/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</row>
    <row r="3515">
      <c r="A3515" s="5" t="n"/>
      <c r="B3515" s="5" t="n"/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</row>
    <row r="3516">
      <c r="A3516" s="5" t="n"/>
      <c r="B3516" s="5" t="n"/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</row>
    <row r="3517">
      <c r="A3517" s="5" t="n"/>
      <c r="B3517" s="5" t="n"/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</row>
    <row r="3518">
      <c r="A3518" s="5" t="n"/>
      <c r="B3518" s="5" t="n"/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</row>
    <row r="3519">
      <c r="A3519" s="5" t="n"/>
      <c r="B3519" s="5" t="n"/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</row>
    <row r="3520">
      <c r="A3520" s="5" t="n"/>
      <c r="B3520" s="5" t="n"/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</row>
    <row r="3521">
      <c r="A3521" s="5" t="n"/>
      <c r="B3521" s="5" t="n"/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</row>
    <row r="3522">
      <c r="A3522" s="5" t="n"/>
      <c r="B3522" s="5" t="n"/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</row>
    <row r="3523">
      <c r="A3523" s="5" t="n"/>
      <c r="B3523" s="5" t="n"/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</row>
    <row r="3524">
      <c r="A3524" s="5" t="n"/>
      <c r="B3524" s="5" t="n"/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</row>
    <row r="3525">
      <c r="A3525" s="5" t="n"/>
      <c r="B3525" s="5" t="n"/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</row>
    <row r="3526">
      <c r="A3526" s="5" t="n"/>
      <c r="B3526" s="5" t="n"/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</row>
    <row r="3529">
      <c r="A3529" s="5" t="n"/>
      <c r="B3529" s="5" t="n"/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</row>
    <row r="3530">
      <c r="A3530" s="5" t="n"/>
      <c r="B3530" s="5" t="n"/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</row>
    <row r="3531">
      <c r="A3531" s="5" t="n"/>
      <c r="B3531" s="5" t="n"/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</row>
    <row r="3532">
      <c r="A3532" s="5" t="n"/>
      <c r="B3532" s="5" t="n"/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</row>
    <row r="3533">
      <c r="A3533" s="5" t="n"/>
      <c r="B3533" s="5" t="n"/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</row>
    <row r="3534">
      <c r="A3534" s="5" t="n"/>
      <c r="B3534" s="5" t="n"/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</row>
    <row r="3535">
      <c r="A3535" s="5" t="n"/>
      <c r="B3535" s="5" t="n"/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</row>
    <row r="3536">
      <c r="A3536" s="5" t="n"/>
      <c r="B3536" s="5" t="n"/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</row>
    <row r="3537">
      <c r="A3537" s="5" t="n"/>
      <c r="B3537" s="5" t="n"/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</row>
    <row r="3538">
      <c r="A3538" s="5" t="n"/>
      <c r="B3538" s="5" t="n"/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</row>
    <row r="3539">
      <c r="A3539" s="5" t="n"/>
      <c r="B3539" s="5" t="n"/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</row>
    <row r="3540">
      <c r="A3540" s="5" t="n"/>
      <c r="B3540" s="5" t="n"/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</row>
    <row r="3541">
      <c r="A3541" s="5" t="n"/>
      <c r="B3541" s="5" t="n"/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</row>
    <row r="3544">
      <c r="A3544" s="5" t="n"/>
      <c r="B3544" s="5" t="n"/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</row>
    <row r="3545">
      <c r="A3545" s="5" t="n"/>
      <c r="B3545" s="5" t="n"/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</row>
    <row r="3546">
      <c r="A3546" s="5" t="n"/>
      <c r="B3546" s="5" t="n"/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</row>
    <row r="3547">
      <c r="A3547" s="5" t="n"/>
      <c r="B3547" s="5" t="n"/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</row>
    <row r="3548">
      <c r="A3548" s="5" t="n"/>
      <c r="B3548" s="5" t="n"/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</row>
    <row r="3549">
      <c r="A3549" s="5" t="n"/>
      <c r="B3549" s="5" t="n"/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</row>
    <row r="3550">
      <c r="A3550" s="5" t="n"/>
      <c r="B3550" s="5" t="n"/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</row>
    <row r="3551">
      <c r="A3551" s="5" t="n"/>
      <c r="B3551" s="5" t="n"/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</row>
    <row r="3552">
      <c r="A3552" s="5" t="n"/>
      <c r="B3552" s="5" t="n"/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</row>
    <row r="3553">
      <c r="A3553" s="5" t="n"/>
      <c r="B3553" s="5" t="n"/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</row>
    <row r="3554">
      <c r="A3554" s="5" t="n"/>
      <c r="B3554" s="5" t="n"/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</row>
    <row r="3555">
      <c r="A3555" s="5" t="n"/>
      <c r="B3555" s="5" t="n"/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</row>
    <row r="3556">
      <c r="A3556" s="5" t="n"/>
      <c r="B3556" s="5" t="n"/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</row>
    <row r="3559">
      <c r="A3559" s="5" t="n"/>
      <c r="B3559" s="5" t="n"/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</row>
    <row r="3560">
      <c r="A3560" s="5" t="n"/>
      <c r="B3560" s="5" t="n"/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</row>
    <row r="3561">
      <c r="A3561" s="5" t="n"/>
      <c r="B3561" s="5" t="n"/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</row>
    <row r="3562">
      <c r="A3562" s="5" t="n"/>
      <c r="B3562" s="5" t="n"/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</row>
    <row r="3563">
      <c r="A3563" s="5" t="n"/>
      <c r="B3563" s="5" t="n"/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</row>
    <row r="3564">
      <c r="A3564" s="5" t="n"/>
      <c r="B3564" s="5" t="n"/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</row>
    <row r="3565">
      <c r="A3565" s="5" t="n"/>
      <c r="B3565" s="5" t="n"/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</row>
    <row r="3566">
      <c r="A3566" s="5" t="n"/>
      <c r="B3566" s="5" t="n"/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</row>
    <row r="3567">
      <c r="A3567" s="5" t="n"/>
      <c r="B3567" s="5" t="n"/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</row>
    <row r="3568">
      <c r="A3568" s="5" t="n"/>
      <c r="B3568" s="5" t="n"/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</row>
    <row r="3569">
      <c r="A3569" s="5" t="n"/>
      <c r="B3569" s="5" t="n"/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</row>
    <row r="3570">
      <c r="A3570" s="5" t="n"/>
      <c r="B3570" s="5" t="n"/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</row>
    <row r="3571">
      <c r="A3571" s="5" t="n"/>
      <c r="B3571" s="5" t="n"/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</row>
    <row r="3574">
      <c r="A3574" s="5" t="n"/>
      <c r="B3574" s="5" t="n"/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</row>
    <row r="3575">
      <c r="A3575" s="5" t="n"/>
      <c r="B3575" s="5" t="n"/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</row>
    <row r="3576">
      <c r="A3576" s="5" t="n"/>
      <c r="B3576" s="5" t="n"/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</row>
    <row r="3577">
      <c r="A3577" s="5" t="n"/>
      <c r="B3577" s="5" t="n"/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</row>
    <row r="3578">
      <c r="A3578" s="5" t="n"/>
      <c r="B3578" s="5" t="n"/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</row>
    <row r="3579">
      <c r="A3579" s="5" t="n"/>
      <c r="B3579" s="5" t="n"/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</row>
    <row r="3580">
      <c r="A3580" s="5" t="n"/>
      <c r="B3580" s="5" t="n"/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</row>
    <row r="3581">
      <c r="A3581" s="5" t="n"/>
      <c r="B3581" s="5" t="n"/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</row>
    <row r="3582">
      <c r="A3582" s="5" t="n"/>
      <c r="B3582" s="5" t="n"/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</row>
    <row r="3583">
      <c r="A3583" s="5" t="n"/>
      <c r="B3583" s="5" t="n"/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</row>
    <row r="3584">
      <c r="A3584" s="5" t="n"/>
      <c r="B3584" s="5" t="n"/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</row>
    <row r="3585">
      <c r="A3585" s="5" t="n"/>
      <c r="B3585" s="5" t="n"/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</row>
    <row r="3586">
      <c r="A3586" s="5" t="n"/>
      <c r="B3586" s="5" t="n"/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</row>
    <row r="3589">
      <c r="A3589" s="5" t="n"/>
      <c r="B3589" s="5" t="n"/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</row>
    <row r="3590">
      <c r="A3590" s="5" t="n"/>
      <c r="B3590" s="5" t="n"/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</row>
    <row r="3591">
      <c r="A3591" s="5" t="n"/>
      <c r="B3591" s="5" t="n"/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</row>
    <row r="3592">
      <c r="A3592" s="5" t="n"/>
      <c r="B3592" s="5" t="n"/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</row>
    <row r="3593">
      <c r="A3593" s="5" t="n"/>
      <c r="B3593" s="5" t="n"/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</row>
    <row r="3594">
      <c r="A3594" s="5" t="n"/>
      <c r="B3594" s="5" t="n"/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</row>
    <row r="3595">
      <c r="A3595" s="5" t="n"/>
      <c r="B3595" s="5" t="n"/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</row>
    <row r="3596">
      <c r="A3596" s="5" t="n"/>
      <c r="B3596" s="5" t="n"/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</row>
    <row r="3597">
      <c r="A3597" s="5" t="n"/>
      <c r="B3597" s="5" t="n"/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</row>
    <row r="3598">
      <c r="A3598" s="5" t="n"/>
      <c r="B3598" s="5" t="n"/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</row>
    <row r="3599">
      <c r="A3599" s="5" t="n"/>
      <c r="B3599" s="5" t="n"/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</row>
    <row r="3600">
      <c r="A3600" s="5" t="n"/>
      <c r="B3600" s="5" t="n"/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</row>
    <row r="3601">
      <c r="A3601" s="5" t="n"/>
      <c r="B3601" s="5" t="n"/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</row>
    <row r="3604">
      <c r="A3604" s="5" t="n"/>
      <c r="B3604" s="5" t="n"/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</row>
    <row r="3605">
      <c r="A3605" s="5" t="n"/>
      <c r="B3605" s="5" t="n"/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</row>
    <row r="3606">
      <c r="A3606" s="5" t="n"/>
      <c r="B3606" s="5" t="n"/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</row>
    <row r="3607">
      <c r="A3607" s="5" t="n"/>
      <c r="B3607" s="5" t="n"/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</row>
    <row r="3608">
      <c r="A3608" s="5" t="n"/>
      <c r="B3608" s="5" t="n"/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</row>
    <row r="3609">
      <c r="A3609" s="5" t="n"/>
      <c r="B3609" s="5" t="n"/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</row>
    <row r="3610">
      <c r="A3610" s="5" t="n"/>
      <c r="B3610" s="5" t="n"/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</row>
    <row r="3611">
      <c r="A3611" s="5" t="n"/>
      <c r="B3611" s="5" t="n"/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</row>
    <row r="3612">
      <c r="A3612" s="5" t="n"/>
      <c r="B3612" s="5" t="n"/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</row>
    <row r="3613">
      <c r="A3613" s="5" t="n"/>
      <c r="B3613" s="5" t="n"/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</row>
    <row r="3614">
      <c r="A3614" s="5" t="n"/>
      <c r="B3614" s="5" t="n"/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</row>
    <row r="3615">
      <c r="A3615" s="5" t="n"/>
      <c r="B3615" s="5" t="n"/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</row>
    <row r="3616">
      <c r="A3616" s="5" t="n"/>
      <c r="B3616" s="5" t="n"/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</row>
    <row r="3619">
      <c r="A3619" s="5" t="n"/>
      <c r="B3619" s="5" t="n"/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</row>
    <row r="3620">
      <c r="A3620" s="5" t="n"/>
      <c r="B3620" s="5" t="n"/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</row>
    <row r="3621">
      <c r="A3621" s="5" t="n"/>
      <c r="B3621" s="5" t="n"/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</row>
    <row r="3622">
      <c r="A3622" s="5" t="n"/>
      <c r="B3622" s="5" t="n"/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</row>
    <row r="3623">
      <c r="A3623" s="5" t="n"/>
      <c r="B3623" s="5" t="n"/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</row>
    <row r="3624">
      <c r="A3624" s="5" t="n"/>
      <c r="B3624" s="5" t="n"/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</row>
    <row r="3625">
      <c r="A3625" s="5" t="n"/>
      <c r="B3625" s="5" t="n"/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</row>
    <row r="3626">
      <c r="A3626" s="5" t="n"/>
      <c r="B3626" s="5" t="n"/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</row>
    <row r="3627">
      <c r="A3627" s="5" t="n"/>
      <c r="B3627" s="5" t="n"/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</row>
    <row r="3628">
      <c r="A3628" s="5" t="n"/>
      <c r="B3628" s="5" t="n"/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</row>
    <row r="3629">
      <c r="A3629" s="5" t="n"/>
      <c r="B3629" s="5" t="n"/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</row>
    <row r="3630">
      <c r="A3630" s="5" t="n"/>
      <c r="B3630" s="5" t="n"/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</row>
    <row r="3631">
      <c r="A3631" s="5" t="n"/>
      <c r="B3631" s="5" t="n"/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</row>
    <row r="3634">
      <c r="A3634" s="5" t="n"/>
      <c r="B3634" s="5" t="n"/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</row>
    <row r="3635">
      <c r="A3635" s="5" t="n"/>
      <c r="B3635" s="5" t="n"/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</row>
    <row r="3636">
      <c r="A3636" s="5" t="n"/>
      <c r="B3636" s="5" t="n"/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</row>
    <row r="3637">
      <c r="A3637" s="5" t="n"/>
      <c r="B3637" s="5" t="n"/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</row>
    <row r="3638">
      <c r="A3638" s="5" t="n"/>
      <c r="B3638" s="5" t="n"/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</row>
    <row r="3639">
      <c r="A3639" s="5" t="n"/>
      <c r="B3639" s="5" t="n"/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</row>
    <row r="3640">
      <c r="A3640" s="5" t="n"/>
      <c r="B3640" s="5" t="n"/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</row>
    <row r="3641">
      <c r="A3641" s="5" t="n"/>
      <c r="B3641" s="5" t="n"/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</row>
    <row r="3642">
      <c r="A3642" s="5" t="n"/>
      <c r="B3642" s="5" t="n"/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</row>
    <row r="3643">
      <c r="A3643" s="5" t="n"/>
      <c r="B3643" s="5" t="n"/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</row>
    <row r="3644">
      <c r="A3644" s="5" t="n"/>
      <c r="B3644" s="5" t="n"/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</row>
    <row r="3645">
      <c r="A3645" s="5" t="n"/>
      <c r="B3645" s="5" t="n"/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</row>
    <row r="3646">
      <c r="A3646" s="5" t="n"/>
      <c r="B3646" s="5" t="n"/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</row>
    <row r="3649">
      <c r="A3649" s="5" t="n"/>
      <c r="B3649" s="5" t="n"/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</row>
    <row r="3650">
      <c r="A3650" s="5" t="n"/>
      <c r="B3650" s="5" t="n"/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</row>
    <row r="3651">
      <c r="A3651" s="5" t="n"/>
      <c r="B3651" s="5" t="n"/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</row>
    <row r="3652">
      <c r="A3652" s="5" t="n"/>
      <c r="B3652" s="5" t="n"/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</row>
    <row r="3653">
      <c r="A3653" s="5" t="n"/>
      <c r="B3653" s="5" t="n"/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</row>
    <row r="3654">
      <c r="A3654" s="5" t="n"/>
      <c r="B3654" s="5" t="n"/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</row>
    <row r="3655">
      <c r="A3655" s="5" t="n"/>
      <c r="B3655" s="5" t="n"/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</row>
    <row r="3656">
      <c r="A3656" s="5" t="n"/>
      <c r="B3656" s="5" t="n"/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</row>
    <row r="3657">
      <c r="A3657" s="5" t="n"/>
      <c r="B3657" s="5" t="n"/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</row>
    <row r="3658">
      <c r="A3658" s="5" t="n"/>
      <c r="B3658" s="5" t="n"/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</row>
    <row r="3659">
      <c r="A3659" s="5" t="n"/>
      <c r="B3659" s="5" t="n"/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</row>
    <row r="3660">
      <c r="A3660" s="5" t="n"/>
      <c r="B3660" s="5" t="n"/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</row>
    <row r="3661">
      <c r="A3661" s="5" t="n"/>
      <c r="B3661" s="5" t="n"/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</row>
    <row r="3664">
      <c r="A3664" s="5" t="n"/>
      <c r="B3664" s="5" t="n"/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</row>
    <row r="3665">
      <c r="A3665" s="5" t="n"/>
      <c r="B3665" s="5" t="n"/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</row>
    <row r="3666">
      <c r="A3666" s="5" t="n"/>
      <c r="B3666" s="5" t="n"/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</row>
    <row r="3667">
      <c r="A3667" s="5" t="n"/>
      <c r="B3667" s="5" t="n"/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</row>
    <row r="3668">
      <c r="A3668" s="5" t="n"/>
      <c r="B3668" s="5" t="n"/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</row>
    <row r="3669">
      <c r="A3669" s="5" t="n"/>
      <c r="B3669" s="5" t="n"/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</row>
    <row r="3670">
      <c r="A3670" s="5" t="n"/>
      <c r="B3670" s="5" t="n"/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</row>
    <row r="3671">
      <c r="A3671" s="5" t="n"/>
      <c r="B3671" s="5" t="n"/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</row>
    <row r="3672">
      <c r="A3672" s="5" t="n"/>
      <c r="B3672" s="5" t="n"/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</row>
    <row r="3673">
      <c r="A3673" s="5" t="n"/>
      <c r="B3673" s="5" t="n"/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</row>
    <row r="3674">
      <c r="A3674" s="5" t="n"/>
      <c r="B3674" s="5" t="n"/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</row>
    <row r="3675">
      <c r="A3675" s="5" t="n"/>
      <c r="B3675" s="5" t="n"/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</row>
    <row r="3676">
      <c r="A3676" s="5" t="n"/>
      <c r="B3676" s="5" t="n"/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</row>
    <row r="3679">
      <c r="A3679" s="5" t="n"/>
      <c r="B3679" s="5" t="n"/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</row>
    <row r="3680">
      <c r="A3680" s="5" t="n"/>
      <c r="B3680" s="5" t="n"/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</row>
    <row r="3681">
      <c r="A3681" s="5" t="n"/>
      <c r="B3681" s="5" t="n"/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</row>
    <row r="3682">
      <c r="A3682" s="5" t="n"/>
      <c r="B3682" s="5" t="n"/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</row>
    <row r="3683">
      <c r="A3683" s="5" t="n"/>
      <c r="B3683" s="5" t="n"/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</row>
    <row r="3684">
      <c r="A3684" s="5" t="n"/>
      <c r="B3684" s="5" t="n"/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</row>
    <row r="3685">
      <c r="A3685" s="5" t="n"/>
      <c r="B3685" s="5" t="n"/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</row>
    <row r="3686">
      <c r="A3686" s="5" t="n"/>
      <c r="B3686" s="5" t="n"/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</row>
    <row r="3687">
      <c r="A3687" s="5" t="n"/>
      <c r="B3687" s="5" t="n"/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</row>
    <row r="3688">
      <c r="A3688" s="5" t="n"/>
      <c r="B3688" s="5" t="n"/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</row>
    <row r="3689">
      <c r="A3689" s="5" t="n"/>
      <c r="B3689" s="5" t="n"/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</row>
    <row r="3690">
      <c r="A3690" s="5" t="n"/>
      <c r="B3690" s="5" t="n"/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</row>
    <row r="3691">
      <c r="A3691" s="5" t="n"/>
      <c r="B3691" s="5" t="n"/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</row>
    <row r="3694">
      <c r="A3694" s="5" t="n"/>
      <c r="B3694" s="5" t="n"/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</row>
    <row r="3695">
      <c r="A3695" s="5" t="n"/>
      <c r="B3695" s="5" t="n"/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</row>
    <row r="3696">
      <c r="A3696" s="5" t="n"/>
      <c r="B3696" s="5" t="n"/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</row>
    <row r="3697">
      <c r="A3697" s="5" t="n"/>
      <c r="B3697" s="5" t="n"/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</row>
    <row r="3698">
      <c r="A3698" s="5" t="n"/>
      <c r="B3698" s="5" t="n"/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</row>
    <row r="3699">
      <c r="A3699" s="5" t="n"/>
      <c r="B3699" s="5" t="n"/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</row>
    <row r="3700">
      <c r="A3700" s="5" t="n"/>
      <c r="B3700" s="5" t="n"/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</row>
    <row r="3701">
      <c r="A3701" s="5" t="n"/>
      <c r="B3701" s="5" t="n"/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</row>
    <row r="3702">
      <c r="A3702" s="5" t="n"/>
      <c r="B3702" s="5" t="n"/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</row>
    <row r="3703">
      <c r="A3703" s="5" t="n"/>
      <c r="B3703" s="5" t="n"/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</row>
    <row r="3704">
      <c r="A3704" s="5" t="n"/>
      <c r="B3704" s="5" t="n"/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</row>
    <row r="3705">
      <c r="A3705" s="5" t="n"/>
      <c r="B3705" s="5" t="n"/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</row>
    <row r="3706">
      <c r="A3706" s="5" t="n"/>
      <c r="B3706" s="5" t="n"/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</row>
    <row r="3709">
      <c r="A3709" s="5" t="n"/>
      <c r="B3709" s="5" t="n"/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</row>
    <row r="3710">
      <c r="A3710" s="5" t="n"/>
      <c r="B3710" s="5" t="n"/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</row>
    <row r="3711">
      <c r="A3711" s="5" t="n"/>
      <c r="B3711" s="5" t="n"/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</row>
    <row r="3712">
      <c r="A3712" s="5" t="n"/>
      <c r="B3712" s="5" t="n"/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</row>
    <row r="3713">
      <c r="A3713" s="5" t="n"/>
      <c r="B3713" s="5" t="n"/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</row>
    <row r="3714">
      <c r="A3714" s="5" t="n"/>
      <c r="B3714" s="5" t="n"/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</row>
    <row r="3715">
      <c r="A3715" s="5" t="n"/>
      <c r="B3715" s="5" t="n"/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</row>
    <row r="3716">
      <c r="A3716" s="5" t="n"/>
      <c r="B3716" s="5" t="n"/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</row>
    <row r="3717">
      <c r="A3717" s="5" t="n"/>
      <c r="B3717" s="5" t="n"/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</row>
    <row r="3718">
      <c r="A3718" s="5" t="n"/>
      <c r="B3718" s="5" t="n"/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</row>
    <row r="3719">
      <c r="A3719" s="5" t="n"/>
      <c r="B3719" s="5" t="n"/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</row>
    <row r="3720">
      <c r="A3720" s="5" t="n"/>
      <c r="B3720" s="5" t="n"/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</row>
    <row r="3721">
      <c r="A3721" s="5" t="n"/>
      <c r="B3721" s="5" t="n"/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</row>
    <row r="3724">
      <c r="A3724" s="5" t="n"/>
      <c r="B3724" s="5" t="n"/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</row>
    <row r="3725">
      <c r="A3725" s="5" t="n"/>
      <c r="B3725" s="5" t="n"/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</row>
    <row r="3726">
      <c r="A3726" s="5" t="n"/>
      <c r="B3726" s="5" t="n"/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</row>
    <row r="3727">
      <c r="A3727" s="5" t="n"/>
      <c r="B3727" s="5" t="n"/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</row>
    <row r="3728">
      <c r="A3728" s="5" t="n"/>
      <c r="B3728" s="5" t="n"/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</row>
    <row r="3729">
      <c r="A3729" s="5" t="n"/>
      <c r="B3729" s="5" t="n"/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</row>
    <row r="3730">
      <c r="A3730" s="5" t="n"/>
      <c r="B3730" s="5" t="n"/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</row>
    <row r="3731">
      <c r="A3731" s="5" t="n"/>
      <c r="B3731" s="5" t="n"/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</row>
    <row r="3732">
      <c r="A3732" s="5" t="n"/>
      <c r="B3732" s="5" t="n"/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</row>
    <row r="3733">
      <c r="A3733" s="5" t="n"/>
      <c r="B3733" s="5" t="n"/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</row>
    <row r="3734">
      <c r="A3734" s="5" t="n"/>
      <c r="B3734" s="5" t="n"/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</row>
    <row r="3735">
      <c r="A3735" s="5" t="n"/>
      <c r="B3735" s="5" t="n"/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</row>
    <row r="3736">
      <c r="A3736" s="5" t="n"/>
      <c r="B3736" s="5" t="n"/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</row>
    <row r="3739">
      <c r="A3739" s="5" t="n"/>
      <c r="B3739" s="5" t="n"/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</row>
    <row r="3740">
      <c r="A3740" s="5" t="n"/>
      <c r="B3740" s="5" t="n"/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</row>
    <row r="3741">
      <c r="A3741" s="5" t="n"/>
      <c r="B3741" s="5" t="n"/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</row>
    <row r="3742">
      <c r="A3742" s="5" t="n"/>
      <c r="B3742" s="5" t="n"/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</row>
    <row r="3743">
      <c r="A3743" s="5" t="n"/>
      <c r="B3743" s="5" t="n"/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</row>
    <row r="3744">
      <c r="A3744" s="5" t="n"/>
      <c r="B3744" s="5" t="n"/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</row>
    <row r="3745">
      <c r="A3745" s="5" t="n"/>
      <c r="B3745" s="5" t="n"/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</row>
    <row r="3746">
      <c r="A3746" s="5" t="n"/>
      <c r="B3746" s="5" t="n"/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</row>
    <row r="3747">
      <c r="A3747" s="5" t="n"/>
      <c r="B3747" s="5" t="n"/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</row>
    <row r="3748">
      <c r="A3748" s="5" t="n"/>
      <c r="B3748" s="5" t="n"/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</row>
    <row r="3749">
      <c r="A3749" s="5" t="n"/>
      <c r="B3749" s="5" t="n"/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</row>
    <row r="3750">
      <c r="A3750" s="5" t="n"/>
      <c r="B3750" s="5" t="n"/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</row>
    <row r="3751">
      <c r="A3751" s="5" t="n"/>
      <c r="B3751" s="5" t="n"/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</row>
    <row r="3754">
      <c r="A3754" s="5" t="n"/>
      <c r="B3754" s="5" t="n"/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</row>
    <row r="3755">
      <c r="A3755" s="5" t="n"/>
      <c r="B3755" s="5" t="n"/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</row>
    <row r="3756">
      <c r="A3756" s="5" t="n"/>
      <c r="B3756" s="5" t="n"/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</row>
    <row r="3757">
      <c r="A3757" s="5" t="n"/>
      <c r="B3757" s="5" t="n"/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</row>
    <row r="3758">
      <c r="A3758" s="5" t="n"/>
      <c r="B3758" s="5" t="n"/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</row>
    <row r="3759">
      <c r="A3759" s="5" t="n"/>
      <c r="B3759" s="5" t="n"/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</row>
    <row r="3760">
      <c r="A3760" s="5" t="n"/>
      <c r="B3760" s="5" t="n"/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</row>
    <row r="3761">
      <c r="A3761" s="5" t="n"/>
      <c r="B3761" s="5" t="n"/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</row>
    <row r="3762">
      <c r="A3762" s="5" t="n"/>
      <c r="B3762" s="5" t="n"/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</row>
    <row r="3763">
      <c r="A3763" s="5" t="n"/>
      <c r="B3763" s="5" t="n"/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</row>
    <row r="3764">
      <c r="A3764" s="5" t="n"/>
      <c r="B3764" s="5" t="n"/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</row>
    <row r="3765">
      <c r="A3765" s="5" t="n"/>
      <c r="B3765" s="5" t="n"/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</row>
    <row r="3766">
      <c r="A3766" s="5" t="n"/>
      <c r="B3766" s="5" t="n"/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</row>
    <row r="3769">
      <c r="A3769" s="5" t="n"/>
      <c r="B3769" s="5" t="n"/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</row>
    <row r="3770">
      <c r="A3770" s="5" t="n"/>
      <c r="B3770" s="5" t="n"/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</row>
    <row r="3771">
      <c r="A3771" s="5" t="n"/>
      <c r="B3771" s="5" t="n"/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</row>
    <row r="3772">
      <c r="A3772" s="5" t="n"/>
      <c r="B3772" s="5" t="n"/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</row>
    <row r="3773">
      <c r="A3773" s="5" t="n"/>
      <c r="B3773" s="5" t="n"/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</row>
    <row r="3774">
      <c r="A3774" s="5" t="n"/>
      <c r="B3774" s="5" t="n"/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</row>
    <row r="3775">
      <c r="A3775" s="5" t="n"/>
      <c r="B3775" s="5" t="n"/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</row>
    <row r="3776">
      <c r="A3776" s="5" t="n"/>
      <c r="B3776" s="5" t="n"/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</row>
    <row r="3777">
      <c r="A3777" s="5" t="n"/>
      <c r="B3777" s="5" t="n"/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</row>
    <row r="3778">
      <c r="A3778" s="5" t="n"/>
      <c r="B3778" s="5" t="n"/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</row>
    <row r="3779">
      <c r="A3779" s="5" t="n"/>
      <c r="B3779" s="5" t="n"/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</row>
    <row r="3780">
      <c r="A3780" s="5" t="n"/>
      <c r="B3780" s="5" t="n"/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</row>
    <row r="3781">
      <c r="A3781" s="5" t="n"/>
      <c r="B3781" s="5" t="n"/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</row>
    <row r="3784">
      <c r="A3784" s="5" t="n"/>
      <c r="B3784" s="5" t="n"/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</row>
    <row r="3785">
      <c r="A3785" s="5" t="n"/>
      <c r="B3785" s="5" t="n"/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</row>
    <row r="3786">
      <c r="A3786" s="5" t="n"/>
      <c r="B3786" s="5" t="n"/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</row>
    <row r="3787">
      <c r="A3787" s="5" t="n"/>
      <c r="B3787" s="5" t="n"/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</row>
    <row r="3788">
      <c r="A3788" s="5" t="n"/>
      <c r="B3788" s="5" t="n"/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</row>
    <row r="3789">
      <c r="A3789" s="5" t="n"/>
      <c r="B3789" s="5" t="n"/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</row>
    <row r="3790">
      <c r="A3790" s="5" t="n"/>
      <c r="B3790" s="5" t="n"/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</row>
    <row r="3791">
      <c r="A3791" s="5" t="n"/>
      <c r="B3791" s="5" t="n"/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</row>
    <row r="3792">
      <c r="A3792" s="5" t="n"/>
      <c r="B3792" s="5" t="n"/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</row>
    <row r="3793">
      <c r="A3793" s="5" t="n"/>
      <c r="B3793" s="5" t="n"/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</row>
    <row r="3794">
      <c r="A3794" s="5" t="n"/>
      <c r="B3794" s="5" t="n"/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</row>
    <row r="3795">
      <c r="A3795" s="5" t="n"/>
      <c r="B3795" s="5" t="n"/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</row>
    <row r="3796">
      <c r="A3796" s="5" t="n"/>
      <c r="B3796" s="5" t="n"/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</row>
    <row r="3799">
      <c r="A3799" s="5" t="n"/>
      <c r="B3799" s="5" t="n"/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</row>
    <row r="3800">
      <c r="A3800" s="5" t="n"/>
      <c r="B3800" s="5" t="n"/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</row>
    <row r="3801">
      <c r="A3801" s="5" t="n"/>
      <c r="B3801" s="5" t="n"/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</row>
    <row r="3802">
      <c r="A3802" s="5" t="n"/>
      <c r="B3802" s="5" t="n"/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</row>
    <row r="3803">
      <c r="A3803" s="5" t="n"/>
      <c r="B3803" s="5" t="n"/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</row>
    <row r="3804">
      <c r="A3804" s="5" t="n"/>
      <c r="B3804" s="5" t="n"/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</row>
    <row r="3805">
      <c r="A3805" s="5" t="n"/>
      <c r="B3805" s="5" t="n"/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</row>
    <row r="3806">
      <c r="A3806" s="5" t="n"/>
      <c r="B3806" s="5" t="n"/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</row>
    <row r="3807">
      <c r="A3807" s="5" t="n"/>
      <c r="B3807" s="5" t="n"/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</row>
    <row r="3808">
      <c r="A3808" s="5" t="n"/>
      <c r="B3808" s="5" t="n"/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</row>
    <row r="3809">
      <c r="A3809" s="5" t="n"/>
      <c r="B3809" s="5" t="n"/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</row>
    <row r="3810">
      <c r="A3810" s="5" t="n"/>
      <c r="B3810" s="5" t="n"/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</row>
    <row r="3811">
      <c r="A3811" s="5" t="n"/>
      <c r="B3811" s="5" t="n"/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</row>
    <row r="3814">
      <c r="A3814" s="5" t="n"/>
      <c r="B3814" s="5" t="n"/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</row>
    <row r="3815">
      <c r="A3815" s="5" t="n"/>
      <c r="B3815" s="5" t="n"/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</row>
    <row r="3816">
      <c r="A3816" s="5" t="n"/>
      <c r="B3816" s="5" t="n"/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</row>
    <row r="3817">
      <c r="A3817" s="5" t="n"/>
      <c r="B3817" s="5" t="n"/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</row>
    <row r="3818">
      <c r="A3818" s="5" t="n"/>
      <c r="B3818" s="5" t="n"/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</row>
    <row r="3819">
      <c r="A3819" s="5" t="n"/>
      <c r="B3819" s="5" t="n"/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</row>
    <row r="3820">
      <c r="A3820" s="5" t="n"/>
      <c r="B3820" s="5" t="n"/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</row>
    <row r="3821">
      <c r="A3821" s="5" t="n"/>
      <c r="B3821" s="5" t="n"/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</row>
    <row r="3822">
      <c r="A3822" s="5" t="n"/>
      <c r="B3822" s="5" t="n"/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</row>
    <row r="3823">
      <c r="A3823" s="5" t="n"/>
      <c r="B3823" s="5" t="n"/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</row>
    <row r="3824">
      <c r="A3824" s="5" t="n"/>
      <c r="B3824" s="5" t="n"/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</row>
    <row r="3825">
      <c r="A3825" s="5" t="n"/>
      <c r="B3825" s="5" t="n"/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</row>
    <row r="3826">
      <c r="A3826" s="5" t="n"/>
      <c r="B3826" s="5" t="n"/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</row>
    <row r="3829">
      <c r="A3829" s="5" t="n"/>
      <c r="B3829" s="5" t="n"/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</row>
    <row r="3830">
      <c r="A3830" s="5" t="n"/>
      <c r="B3830" s="5" t="n"/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</row>
    <row r="3831">
      <c r="A3831" s="5" t="n"/>
      <c r="B3831" s="5" t="n"/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</row>
    <row r="3832">
      <c r="A3832" s="5" t="n"/>
      <c r="B3832" s="5" t="n"/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</row>
    <row r="3833">
      <c r="A3833" s="5" t="n"/>
      <c r="B3833" s="5" t="n"/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</row>
    <row r="3834">
      <c r="A3834" s="5" t="n"/>
      <c r="B3834" s="5" t="n"/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</row>
    <row r="3835">
      <c r="A3835" s="5" t="n"/>
      <c r="B3835" s="5" t="n"/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</row>
    <row r="3836">
      <c r="A3836" s="5" t="n"/>
      <c r="B3836" s="5" t="n"/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</row>
    <row r="3837">
      <c r="A3837" s="5" t="n"/>
      <c r="B3837" s="5" t="n"/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</row>
    <row r="3838">
      <c r="A3838" s="5" t="n"/>
      <c r="B3838" s="5" t="n"/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</row>
    <row r="3839">
      <c r="A3839" s="5" t="n"/>
      <c r="B3839" s="5" t="n"/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</row>
    <row r="3840">
      <c r="A3840" s="5" t="n"/>
      <c r="B3840" s="5" t="n"/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</row>
    <row r="3841">
      <c r="A3841" s="5" t="n"/>
      <c r="B3841" s="5" t="n"/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</row>
    <row r="3844">
      <c r="A3844" s="5" t="n"/>
      <c r="B3844" s="5" t="n"/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</row>
    <row r="3845">
      <c r="A3845" s="5" t="n"/>
      <c r="B3845" s="5" t="n"/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</row>
    <row r="3846">
      <c r="A3846" s="5" t="n"/>
      <c r="B3846" s="5" t="n"/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</row>
    <row r="3847">
      <c r="A3847" s="5" t="n"/>
      <c r="B3847" s="5" t="n"/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</row>
    <row r="3848">
      <c r="A3848" s="5" t="n"/>
      <c r="B3848" s="5" t="n"/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</row>
    <row r="3849">
      <c r="A3849" s="5" t="n"/>
      <c r="B3849" s="5" t="n"/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</row>
    <row r="3850">
      <c r="A3850" s="5" t="n"/>
      <c r="B3850" s="5" t="n"/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</row>
    <row r="3851">
      <c r="A3851" s="5" t="n"/>
      <c r="B3851" s="5" t="n"/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</row>
    <row r="3852">
      <c r="A3852" s="5" t="n"/>
      <c r="B3852" s="5" t="n"/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</row>
    <row r="3853">
      <c r="A3853" s="5" t="n"/>
      <c r="B3853" s="5" t="n"/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</row>
    <row r="3854">
      <c r="A3854" s="5" t="n"/>
      <c r="B3854" s="5" t="n"/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</row>
    <row r="3855">
      <c r="A3855" s="5" t="n"/>
      <c r="B3855" s="5" t="n"/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</row>
    <row r="3856">
      <c r="A3856" s="5" t="n"/>
      <c r="B3856" s="5" t="n"/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</row>
    <row r="3859">
      <c r="A3859" s="5" t="n"/>
      <c r="B3859" s="5" t="n"/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</row>
    <row r="3860">
      <c r="A3860" s="5" t="n"/>
      <c r="B3860" s="5" t="n"/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</row>
    <row r="3861">
      <c r="A3861" s="5" t="n"/>
      <c r="B3861" s="5" t="n"/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</row>
    <row r="3862">
      <c r="A3862" s="5" t="n"/>
      <c r="B3862" s="5" t="n"/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</row>
    <row r="3863">
      <c r="A3863" s="5" t="n"/>
      <c r="B3863" s="5" t="n"/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</row>
    <row r="3864">
      <c r="A3864" s="5" t="n"/>
      <c r="B3864" s="5" t="n"/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</row>
    <row r="3865">
      <c r="A3865" s="5" t="n"/>
      <c r="B3865" s="5" t="n"/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</row>
    <row r="3866">
      <c r="A3866" s="5" t="n"/>
      <c r="B3866" s="5" t="n"/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</row>
    <row r="3867">
      <c r="A3867" s="5" t="n"/>
      <c r="B3867" s="5" t="n"/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</row>
    <row r="3868">
      <c r="A3868" s="5" t="n"/>
      <c r="B3868" s="5" t="n"/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</row>
    <row r="3869">
      <c r="A3869" s="5" t="n"/>
      <c r="B3869" s="5" t="n"/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</row>
    <row r="3870">
      <c r="A3870" s="5" t="n"/>
      <c r="B3870" s="5" t="n"/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</row>
    <row r="3871">
      <c r="A3871" s="5" t="n"/>
      <c r="B3871" s="5" t="n"/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</row>
    <row r="3874">
      <c r="A3874" s="5" t="n"/>
      <c r="B3874" s="5" t="n"/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</row>
    <row r="3875">
      <c r="A3875" s="5" t="n"/>
      <c r="B3875" s="5" t="n"/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</row>
    <row r="3876">
      <c r="A3876" s="5" t="n"/>
      <c r="B3876" s="5" t="n"/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</row>
    <row r="3877">
      <c r="A3877" s="5" t="n"/>
      <c r="B3877" s="5" t="n"/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</row>
    <row r="3878">
      <c r="A3878" s="5" t="n"/>
      <c r="B3878" s="5" t="n"/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</row>
    <row r="3879">
      <c r="A3879" s="5" t="n"/>
      <c r="B3879" s="5" t="n"/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</row>
    <row r="3880">
      <c r="A3880" s="5" t="n"/>
      <c r="B3880" s="5" t="n"/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</row>
    <row r="3881">
      <c r="A3881" s="5" t="n"/>
      <c r="B3881" s="5" t="n"/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</row>
    <row r="3882">
      <c r="A3882" s="5" t="n"/>
      <c r="B3882" s="5" t="n"/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</row>
    <row r="3883">
      <c r="A3883" s="5" t="n"/>
      <c r="B3883" s="5" t="n"/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</row>
    <row r="3884">
      <c r="A3884" s="5" t="n"/>
      <c r="B3884" s="5" t="n"/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</row>
    <row r="3885">
      <c r="A3885" s="5" t="n"/>
      <c r="B3885" s="5" t="n"/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</row>
    <row r="3886">
      <c r="A3886" s="5" t="n"/>
      <c r="B3886" s="5" t="n"/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</row>
    <row r="3889">
      <c r="A3889" s="5" t="n"/>
      <c r="B3889" s="5" t="n"/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</row>
    <row r="3890">
      <c r="A3890" s="5" t="n"/>
      <c r="B3890" s="5" t="n"/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</row>
    <row r="3891">
      <c r="A3891" s="5" t="n"/>
      <c r="B3891" s="5" t="n"/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</row>
    <row r="3892">
      <c r="A3892" s="5" t="n"/>
      <c r="B3892" s="5" t="n"/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</row>
    <row r="3893">
      <c r="A3893" s="5" t="n"/>
      <c r="B3893" s="5" t="n"/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</row>
    <row r="3894">
      <c r="A3894" s="5" t="n"/>
      <c r="B3894" s="5" t="n"/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</row>
    <row r="3895">
      <c r="A3895" s="5" t="n"/>
      <c r="B3895" s="5" t="n"/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</row>
    <row r="3896">
      <c r="A3896" s="5" t="n"/>
      <c r="B3896" s="5" t="n"/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</row>
    <row r="3897">
      <c r="A3897" s="5" t="n"/>
      <c r="B3897" s="5" t="n"/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</row>
    <row r="3898">
      <c r="A3898" s="5" t="n"/>
      <c r="B3898" s="5" t="n"/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</row>
    <row r="3899">
      <c r="A3899" s="5" t="n"/>
      <c r="B3899" s="5" t="n"/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</row>
    <row r="3900">
      <c r="A3900" s="5" t="n"/>
      <c r="B3900" s="5" t="n"/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</row>
    <row r="3901">
      <c r="A3901" s="5" t="n"/>
      <c r="B3901" s="5" t="n"/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</row>
    <row r="3902">
      <c r="A3902" s="5" t="n"/>
      <c r="B3902" s="5" t="n"/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</row>
    <row r="3903">
      <c r="A3903" s="5" t="n"/>
      <c r="B3903" s="5" t="n"/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</row>
    <row r="3904">
      <c r="A3904" s="5" t="n"/>
      <c r="B3904" s="5" t="n"/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</row>
    <row r="3905">
      <c r="A3905" s="5" t="n"/>
      <c r="B3905" s="5" t="n"/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</row>
    <row r="3906">
      <c r="A3906" s="5" t="n"/>
      <c r="B3906" s="5" t="n"/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</row>
    <row r="3907">
      <c r="A3907" s="5" t="n"/>
      <c r="B3907" s="5" t="n"/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</row>
    <row r="3908">
      <c r="A3908" s="5" t="n"/>
      <c r="B3908" s="5" t="n"/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</row>
    <row r="3909">
      <c r="A3909" s="5" t="n"/>
      <c r="B3909" s="5" t="n"/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</row>
    <row r="3910">
      <c r="A3910" s="5" t="n"/>
      <c r="B3910" s="5" t="n"/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</row>
    <row r="3911">
      <c r="A3911" s="5" t="n"/>
      <c r="B3911" s="5" t="n"/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</row>
    <row r="3912">
      <c r="A3912" s="5" t="n"/>
      <c r="B3912" s="5" t="n"/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</row>
    <row r="3913">
      <c r="A3913" s="5" t="n"/>
      <c r="B3913" s="5" t="n"/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</row>
    <row r="3914">
      <c r="A3914" s="5" t="n"/>
      <c r="B3914" s="5" t="n"/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</row>
    <row r="3915">
      <c r="A3915" s="5" t="n"/>
      <c r="B3915" s="5" t="n"/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</row>
    <row r="3916">
      <c r="A3916" s="5" t="n"/>
      <c r="B3916" s="5" t="n"/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</row>
    <row r="3917">
      <c r="A3917" s="5" t="n"/>
      <c r="B3917" s="5" t="n"/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</row>
    <row r="3918">
      <c r="A3918" s="5" t="n"/>
      <c r="B3918" s="5" t="n"/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</row>
    <row r="3919">
      <c r="A3919" s="5" t="n"/>
      <c r="B3919" s="5" t="n"/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</row>
    <row r="3920">
      <c r="A3920" s="5" t="n"/>
      <c r="B3920" s="5" t="n"/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</row>
    <row r="3921">
      <c r="A3921" s="5" t="n"/>
      <c r="B3921" s="5" t="n"/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</row>
    <row r="3922">
      <c r="A3922" s="5" t="n"/>
      <c r="B3922" s="5" t="n"/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</row>
    <row r="3923">
      <c r="A3923" s="5" t="n"/>
      <c r="B3923" s="5" t="n"/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</row>
    <row r="3924">
      <c r="A3924" s="5" t="n"/>
      <c r="B3924" s="5" t="n"/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</row>
    <row r="3925">
      <c r="A3925" s="5" t="n"/>
      <c r="B3925" s="5" t="n"/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</row>
    <row r="3926">
      <c r="A3926" s="5" t="n"/>
      <c r="B3926" s="5" t="n"/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</row>
    <row r="3927">
      <c r="A3927" s="5" t="n"/>
      <c r="B3927" s="5" t="n"/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</row>
    <row r="3928">
      <c r="A3928" s="5" t="n"/>
      <c r="B3928" s="5" t="n"/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</row>
    <row r="3929">
      <c r="A3929" s="5" t="n"/>
      <c r="B3929" s="5" t="n"/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</row>
    <row r="3930">
      <c r="A3930" s="5" t="n"/>
      <c r="B3930" s="5" t="n"/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</row>
    <row r="3931">
      <c r="A3931" s="5" t="n"/>
      <c r="B3931" s="5" t="n"/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</row>
    <row r="3932">
      <c r="A3932" s="5" t="n"/>
      <c r="B3932" s="5" t="n"/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</row>
    <row r="3933">
      <c r="A3933" s="5" t="n"/>
      <c r="B3933" s="5" t="n"/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</row>
    <row r="3934">
      <c r="A3934" s="5" t="n"/>
      <c r="B3934" s="5" t="n"/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</row>
    <row r="3935">
      <c r="A3935" s="5" t="n"/>
      <c r="B3935" s="5" t="n"/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</row>
    <row r="3936">
      <c r="A3936" s="5" t="n"/>
      <c r="B3936" s="5" t="n"/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</row>
    <row r="3937">
      <c r="A3937" s="5" t="n"/>
      <c r="B3937" s="5" t="n"/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</row>
    <row r="3938">
      <c r="A3938" s="5" t="n"/>
      <c r="B3938" s="5" t="n"/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</row>
    <row r="3939">
      <c r="A3939" s="5" t="n"/>
      <c r="B3939" s="5" t="n"/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</row>
    <row r="3940">
      <c r="A3940" s="5" t="n"/>
      <c r="B3940" s="5" t="n"/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</row>
    <row r="3941">
      <c r="A3941" s="5" t="n"/>
      <c r="B3941" s="5" t="n"/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</row>
    <row r="3942">
      <c r="A3942" s="5" t="n"/>
      <c r="B3942" s="5" t="n"/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</row>
    <row r="3943">
      <c r="A3943" s="5" t="n"/>
      <c r="B3943" s="5" t="n"/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</row>
    <row r="3944">
      <c r="A3944" s="5" t="n"/>
      <c r="B3944" s="5" t="n"/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</row>
    <row r="3945">
      <c r="A3945" s="5" t="n"/>
      <c r="B3945" s="5" t="n"/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</row>
    <row r="3946">
      <c r="A3946" s="5" t="n"/>
      <c r="B3946" s="5" t="n"/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</row>
    <row r="3947">
      <c r="A3947" s="5" t="n"/>
      <c r="B3947" s="5" t="n"/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</row>
    <row r="3948">
      <c r="A3948" s="5" t="n"/>
      <c r="B3948" s="5" t="n"/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</row>
    <row r="3949">
      <c r="A3949" s="5" t="n"/>
      <c r="B3949" s="5" t="n"/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</row>
    <row r="3950">
      <c r="A3950" s="5" t="n"/>
      <c r="B3950" s="5" t="n"/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</row>
    <row r="3951">
      <c r="A3951" s="5" t="n"/>
      <c r="B3951" s="5" t="n"/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</row>
    <row r="3952">
      <c r="A3952" s="5" t="n"/>
      <c r="B3952" s="5" t="n"/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</row>
    <row r="3953">
      <c r="A3953" s="5" t="n"/>
      <c r="B3953" s="5" t="n"/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</row>
    <row r="3954">
      <c r="A3954" s="5" t="n"/>
      <c r="B3954" s="5" t="n"/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</row>
    <row r="3955">
      <c r="A3955" s="5" t="n"/>
      <c r="B3955" s="5" t="n"/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</row>
    <row r="3956">
      <c r="A3956" s="5" t="n"/>
      <c r="B3956" s="5" t="n"/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</row>
    <row r="3957">
      <c r="A3957" s="5" t="n"/>
      <c r="B3957" s="5" t="n"/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</row>
    <row r="3958">
      <c r="A3958" s="5" t="n"/>
      <c r="B3958" s="5" t="n"/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</row>
    <row r="3959">
      <c r="A3959" s="5" t="n"/>
      <c r="B3959" s="5" t="n"/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</row>
    <row r="3960">
      <c r="A3960" s="5" t="n"/>
      <c r="B3960" s="5" t="n"/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</row>
    <row r="3961">
      <c r="A3961" s="5" t="n"/>
      <c r="B3961" s="5" t="n"/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</row>
    <row r="3962">
      <c r="A3962" s="5" t="n"/>
      <c r="B3962" s="5" t="n"/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</row>
    <row r="3963">
      <c r="A3963" s="5" t="n"/>
      <c r="B3963" s="5" t="n"/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</row>
    <row r="3964">
      <c r="A3964" s="5" t="n"/>
      <c r="B3964" s="5" t="n"/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</row>
    <row r="3965">
      <c r="A3965" s="5" t="n"/>
      <c r="B3965" s="5" t="n"/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</row>
    <row r="3966">
      <c r="A3966" s="5" t="n"/>
      <c r="B3966" s="5" t="n"/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</row>
    <row r="3967">
      <c r="A3967" s="5" t="n"/>
      <c r="B3967" s="5" t="n"/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</row>
    <row r="3968">
      <c r="A3968" s="5" t="n"/>
      <c r="B3968" s="5" t="n"/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</row>
    <row r="3969">
      <c r="A3969" s="5" t="n"/>
      <c r="B3969" s="5" t="n"/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</row>
    <row r="3970">
      <c r="A3970" s="5" t="n"/>
      <c r="B3970" s="5" t="n"/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</row>
    <row r="3971">
      <c r="A3971" s="5" t="n"/>
      <c r="B3971" s="5" t="n"/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</row>
    <row r="3972">
      <c r="A3972" s="5" t="n"/>
      <c r="B3972" s="5" t="n"/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</row>
    <row r="3973">
      <c r="A3973" s="5" t="n"/>
      <c r="B3973" s="5" t="n"/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</row>
    <row r="3974">
      <c r="A3974" s="5" t="n"/>
      <c r="B3974" s="5" t="n"/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</row>
    <row r="3975">
      <c r="A3975" s="5" t="n"/>
      <c r="B3975" s="5" t="n"/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</row>
    <row r="3976">
      <c r="A3976" s="5" t="n"/>
      <c r="B3976" s="5" t="n"/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</row>
    <row r="3977">
      <c r="A3977" s="5" t="n"/>
      <c r="B3977" s="5" t="n"/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</row>
    <row r="3978">
      <c r="A3978" s="5" t="n"/>
      <c r="B3978" s="5" t="n"/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</row>
    <row r="3979">
      <c r="A3979" s="5" t="n"/>
      <c r="B3979" s="5" t="n"/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</row>
    <row r="3980">
      <c r="A3980" s="5" t="n"/>
      <c r="B3980" s="5" t="n"/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</row>
    <row r="3981">
      <c r="A3981" s="5" t="n"/>
      <c r="B3981" s="5" t="n"/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</row>
    <row r="3982">
      <c r="A3982" s="5" t="n"/>
      <c r="B3982" s="5" t="n"/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</row>
    <row r="3983">
      <c r="A3983" s="5" t="n"/>
      <c r="B3983" s="5" t="n"/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</row>
    <row r="3984">
      <c r="A3984" s="5" t="n"/>
      <c r="B3984" s="5" t="n"/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</row>
    <row r="3985">
      <c r="A3985" s="5" t="n"/>
      <c r="B3985" s="5" t="n"/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</row>
    <row r="3986">
      <c r="A3986" s="5" t="n"/>
      <c r="B3986" s="5" t="n"/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</row>
    <row r="3987">
      <c r="A3987" s="5" t="n"/>
      <c r="B3987" s="5" t="n"/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</row>
    <row r="3988">
      <c r="A3988" s="5" t="n"/>
      <c r="B3988" s="5" t="n"/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</row>
    <row r="3989">
      <c r="A3989" s="5" t="n"/>
      <c r="B3989" s="5" t="n"/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</row>
    <row r="3990">
      <c r="A3990" s="5" t="n"/>
      <c r="B3990" s="5" t="n"/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</row>
    <row r="3991">
      <c r="A3991" s="5" t="n"/>
      <c r="B3991" s="5" t="n"/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</row>
    <row r="3992">
      <c r="A3992" s="5" t="n"/>
      <c r="B3992" s="5" t="n"/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</row>
    <row r="3993">
      <c r="A3993" s="5" t="n"/>
      <c r="B3993" s="5" t="n"/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</row>
    <row r="3994">
      <c r="A3994" s="5" t="n"/>
      <c r="B3994" s="5" t="n"/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</row>
    <row r="3995">
      <c r="A3995" s="5" t="n"/>
      <c r="B3995" s="5" t="n"/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</row>
    <row r="3996">
      <c r="A3996" s="5" t="n"/>
      <c r="B3996" s="5" t="n"/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</row>
    <row r="3997">
      <c r="A3997" s="5" t="n"/>
      <c r="B3997" s="5" t="n"/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</row>
    <row r="3998">
      <c r="A3998" s="5" t="n"/>
      <c r="B3998" s="5" t="n"/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</row>
    <row r="3999">
      <c r="A3999" s="5" t="n"/>
      <c r="B3999" s="5" t="n"/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</row>
    <row r="4000">
      <c r="A4000" s="5" t="n"/>
      <c r="B4000" s="5" t="n"/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</row>
    <row r="4001">
      <c r="A4001" s="5" t="n"/>
      <c r="B4001" s="5" t="n"/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</row>
    <row r="4002">
      <c r="A4002" s="5" t="n"/>
      <c r="B4002" s="5" t="n"/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</row>
    <row r="4003">
      <c r="A4003" s="5" t="n"/>
      <c r="B4003" s="5" t="n"/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</row>
    <row r="4004">
      <c r="A4004" s="5" t="n"/>
      <c r="B4004" s="5" t="n"/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</row>
    <row r="4005">
      <c r="A4005" s="5" t="n"/>
      <c r="B4005" s="5" t="n"/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</row>
    <row r="4006">
      <c r="A4006" s="5" t="n"/>
      <c r="B4006" s="5" t="n"/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</row>
    <row r="4007">
      <c r="A4007" s="5" t="n"/>
      <c r="B4007" s="5" t="n"/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</row>
    <row r="4008">
      <c r="A4008" s="5" t="n"/>
      <c r="B4008" s="5" t="n"/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</row>
    <row r="4009">
      <c r="A4009" s="5" t="n"/>
      <c r="B4009" s="5" t="n"/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</row>
    <row r="4010">
      <c r="A4010" s="5" t="n"/>
      <c r="B4010" s="5" t="n"/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</row>
    <row r="4011">
      <c r="A4011" s="5" t="n"/>
      <c r="B4011" s="5" t="n"/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</row>
    <row r="4012">
      <c r="A4012" s="5" t="n"/>
      <c r="B4012" s="5" t="n"/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</row>
    <row r="4013">
      <c r="A4013" s="5" t="n"/>
      <c r="B4013" s="5" t="n"/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</row>
    <row r="4014">
      <c r="A4014" s="5" t="n"/>
      <c r="B4014" s="5" t="n"/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</row>
    <row r="4015">
      <c r="A4015" s="5" t="n"/>
      <c r="B4015" s="5" t="n"/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</row>
    <row r="4016">
      <c r="A4016" s="5" t="n"/>
      <c r="B4016" s="5" t="n"/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</row>
    <row r="4017">
      <c r="A4017" s="5" t="n"/>
      <c r="B4017" s="5" t="n"/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</row>
    <row r="4018">
      <c r="A4018" s="5" t="n"/>
      <c r="B4018" s="5" t="n"/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</row>
    <row r="4019">
      <c r="A4019" s="5" t="n"/>
      <c r="B4019" s="5" t="n"/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</row>
    <row r="4020">
      <c r="A4020" s="5" t="n"/>
      <c r="B4020" s="5" t="n"/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</row>
    <row r="4021">
      <c r="A4021" s="5" t="n"/>
      <c r="B4021" s="5" t="n"/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</row>
    <row r="4022">
      <c r="A4022" s="5" t="n"/>
      <c r="B4022" s="5" t="n"/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</row>
    <row r="4023">
      <c r="A4023" s="5" t="n"/>
      <c r="B4023" s="5" t="n"/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</row>
    <row r="4024">
      <c r="A4024" s="5" t="n"/>
      <c r="B4024" s="5" t="n"/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</row>
    <row r="4025">
      <c r="A4025" s="5" t="n"/>
      <c r="B4025" s="5" t="n"/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</row>
    <row r="4026">
      <c r="A4026" s="5" t="n"/>
      <c r="B4026" s="5" t="n"/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</row>
    <row r="4027">
      <c r="A4027" s="5" t="n"/>
      <c r="B4027" s="5" t="n"/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</row>
    <row r="4028">
      <c r="A4028" s="5" t="n"/>
      <c r="B4028" s="5" t="n"/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</row>
    <row r="4029">
      <c r="A4029" s="5" t="n"/>
      <c r="B4029" s="5" t="n"/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</row>
    <row r="4030">
      <c r="A4030" s="5" t="n"/>
      <c r="B4030" s="5" t="n"/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</row>
    <row r="4031">
      <c r="A4031" s="5" t="n"/>
      <c r="B4031" s="5" t="n"/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</row>
    <row r="4032">
      <c r="A4032" s="5" t="n"/>
      <c r="B4032" s="5" t="n"/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</row>
    <row r="4033">
      <c r="A4033" s="5" t="n"/>
      <c r="B4033" s="5" t="n"/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</row>
    <row r="4034">
      <c r="A4034" s="5" t="n"/>
      <c r="B4034" s="5" t="n"/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</row>
    <row r="4035">
      <c r="A4035" s="5" t="n"/>
      <c r="B4035" s="5" t="n"/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</row>
    <row r="4036">
      <c r="A4036" s="5" t="n"/>
      <c r="B4036" s="5" t="n"/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</row>
    <row r="4037">
      <c r="A4037" s="5" t="n"/>
      <c r="B4037" s="5" t="n"/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</row>
    <row r="4038">
      <c r="A4038" s="5" t="n"/>
      <c r="B4038" s="5" t="n"/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</row>
    <row r="4039">
      <c r="A4039" s="5" t="n"/>
      <c r="B4039" s="5" t="n"/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</row>
    <row r="4040">
      <c r="A4040" s="5" t="n"/>
      <c r="B4040" s="5" t="n"/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</row>
    <row r="4041">
      <c r="A4041" s="5" t="n"/>
      <c r="B4041" s="5" t="n"/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</row>
    <row r="4042">
      <c r="A4042" s="5" t="n"/>
      <c r="B4042" s="5" t="n"/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</row>
    <row r="4043">
      <c r="A4043" s="5" t="n"/>
      <c r="B4043" s="5" t="n"/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</row>
    <row r="4044">
      <c r="A4044" s="5" t="n"/>
      <c r="B4044" s="5" t="n"/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</row>
    <row r="4045">
      <c r="A4045" s="5" t="n"/>
      <c r="B4045" s="5" t="n"/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</row>
    <row r="4046">
      <c r="A4046" s="5" t="n"/>
      <c r="B4046" s="5" t="n"/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</row>
    <row r="4047">
      <c r="A4047" s="5" t="n"/>
      <c r="B4047" s="5" t="n"/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</row>
    <row r="4048">
      <c r="A4048" s="5" t="n"/>
      <c r="B4048" s="5" t="n"/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</row>
    <row r="4049">
      <c r="A4049" s="5" t="n"/>
      <c r="B4049" s="5" t="n"/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</row>
    <row r="4050">
      <c r="A4050" s="5" t="n"/>
      <c r="B4050" s="5" t="n"/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</row>
    <row r="4051">
      <c r="A4051" s="5" t="n"/>
      <c r="B4051" s="5" t="n"/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</row>
    <row r="4052">
      <c r="A4052" s="5" t="n"/>
      <c r="B4052" s="5" t="n"/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</row>
    <row r="4053">
      <c r="A4053" s="5" t="n"/>
      <c r="B4053" s="5" t="n"/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</row>
    <row r="4054">
      <c r="A4054" s="5" t="n"/>
      <c r="B4054" s="5" t="n"/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</row>
    <row r="4055">
      <c r="A4055" s="5" t="n"/>
      <c r="B4055" s="5" t="n"/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</row>
    <row r="4056">
      <c r="A4056" s="5" t="n"/>
      <c r="B4056" s="5" t="n"/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</row>
    <row r="4057">
      <c r="A4057" s="5" t="n"/>
      <c r="B4057" s="5" t="n"/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</row>
    <row r="4058">
      <c r="A4058" s="5" t="n"/>
      <c r="B4058" s="5" t="n"/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</row>
    <row r="4059">
      <c r="A4059" s="5" t="n"/>
      <c r="B4059" s="5" t="n"/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</row>
    <row r="4060">
      <c r="A4060" s="5" t="n"/>
      <c r="B4060" s="5" t="n"/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</row>
    <row r="4061">
      <c r="A4061" s="5" t="n"/>
      <c r="B4061" s="5" t="n"/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</row>
    <row r="4062">
      <c r="A4062" s="5" t="n"/>
      <c r="B4062" s="5" t="n"/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</row>
    <row r="4063">
      <c r="A4063" s="5" t="n"/>
      <c r="B4063" s="5" t="n"/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</row>
    <row r="4064">
      <c r="A4064" s="5" t="n"/>
      <c r="B4064" s="5" t="n"/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</row>
    <row r="4065">
      <c r="A4065" s="5" t="n"/>
      <c r="B4065" s="5" t="n"/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</row>
    <row r="4066">
      <c r="A4066" s="5" t="n"/>
      <c r="B4066" s="5" t="n"/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</row>
    <row r="4067">
      <c r="A4067" s="5" t="n"/>
      <c r="B4067" s="5" t="n"/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</row>
    <row r="4068">
      <c r="A4068" s="5" t="n"/>
      <c r="B4068" s="5" t="n"/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</row>
    <row r="4069">
      <c r="A4069" s="5" t="n"/>
      <c r="B4069" s="5" t="n"/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</row>
    <row r="4070">
      <c r="A4070" s="5" t="n"/>
      <c r="B4070" s="5" t="n"/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</row>
    <row r="4071">
      <c r="A4071" s="5" t="n"/>
      <c r="B4071" s="5" t="n"/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</row>
    <row r="4072">
      <c r="A4072" s="5" t="n"/>
      <c r="B4072" s="5" t="n"/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</row>
    <row r="4073">
      <c r="A4073" s="5" t="n"/>
      <c r="B4073" s="5" t="n"/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</row>
    <row r="4074">
      <c r="A4074" s="5" t="n"/>
      <c r="B4074" s="5" t="n"/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</row>
    <row r="4075">
      <c r="A4075" s="5" t="n"/>
      <c r="B4075" s="5" t="n"/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</row>
    <row r="4076">
      <c r="A4076" s="5" t="n"/>
      <c r="B4076" s="5" t="n"/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</row>
    <row r="4077">
      <c r="A4077" s="5" t="n"/>
      <c r="B4077" s="5" t="n"/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</row>
    <row r="4078">
      <c r="A4078" s="5" t="n"/>
      <c r="B4078" s="5" t="n"/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</row>
    <row r="4079">
      <c r="A4079" s="5" t="n"/>
      <c r="B4079" s="5" t="n"/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</row>
    <row r="4080">
      <c r="A4080" s="5" t="n"/>
      <c r="B4080" s="5" t="n"/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</row>
    <row r="4081">
      <c r="A4081" s="5" t="n"/>
      <c r="B4081" s="5" t="n"/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</row>
    <row r="4082">
      <c r="A4082" s="5" t="n"/>
      <c r="B4082" s="5" t="n"/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</row>
    <row r="4083">
      <c r="A4083" s="5" t="n"/>
      <c r="B4083" s="5" t="n"/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</row>
    <row r="4084">
      <c r="A4084" s="5" t="n"/>
      <c r="B4084" s="5" t="n"/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</row>
    <row r="4085">
      <c r="A4085" s="5" t="n"/>
      <c r="B4085" s="5" t="n"/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</row>
    <row r="4086">
      <c r="A4086" s="5" t="n"/>
      <c r="B4086" s="5" t="n"/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</row>
    <row r="4087">
      <c r="A4087" s="5" t="n"/>
      <c r="B4087" s="5" t="n"/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</row>
    <row r="4088">
      <c r="A4088" s="5" t="n"/>
      <c r="B4088" s="5" t="n"/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</row>
    <row r="4089">
      <c r="A4089" s="5" t="n"/>
      <c r="B4089" s="5" t="n"/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</row>
    <row r="4090">
      <c r="A4090" s="5" t="n"/>
      <c r="B4090" s="5" t="n"/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</row>
    <row r="4091">
      <c r="A4091" s="5" t="n"/>
      <c r="B4091" s="5" t="n"/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</row>
    <row r="4092">
      <c r="A4092" s="5" t="n"/>
      <c r="B4092" s="5" t="n"/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</row>
    <row r="4093">
      <c r="A4093" s="5" t="n"/>
      <c r="B4093" s="5" t="n"/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</row>
    <row r="4094">
      <c r="A4094" s="5" t="n"/>
      <c r="B4094" s="5" t="n"/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</row>
    <row r="4095">
      <c r="A4095" s="5" t="n"/>
      <c r="B4095" s="5" t="n"/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</row>
    <row r="4096">
      <c r="A4096" s="5" t="n"/>
      <c r="B4096" s="5" t="n"/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</row>
    <row r="4097">
      <c r="A4097" s="5" t="n"/>
      <c r="B4097" s="5" t="n"/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</row>
    <row r="4098">
      <c r="A4098" s="5" t="n"/>
      <c r="B4098" s="5" t="n"/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</row>
    <row r="4099">
      <c r="A4099" s="5" t="n"/>
      <c r="B4099" s="5" t="n"/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</row>
    <row r="4100">
      <c r="A4100" s="5" t="n"/>
      <c r="B4100" s="5" t="n"/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</row>
    <row r="4101">
      <c r="A4101" s="5" t="n"/>
      <c r="B4101" s="5" t="n"/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</row>
    <row r="4102">
      <c r="A4102" s="5" t="n"/>
      <c r="B4102" s="5" t="n"/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</row>
    <row r="4103">
      <c r="A4103" s="5" t="n"/>
      <c r="B4103" s="5" t="n"/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</row>
    <row r="4104">
      <c r="A4104" s="5" t="n"/>
      <c r="B4104" s="5" t="n"/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</row>
    <row r="4105">
      <c r="A4105" s="5" t="n"/>
      <c r="B4105" s="5" t="n"/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</row>
    <row r="4106">
      <c r="A4106" s="5" t="n"/>
      <c r="B4106" s="5" t="n"/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</row>
    <row r="4107">
      <c r="A4107" s="5" t="n"/>
      <c r="B4107" s="5" t="n"/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</row>
    <row r="4108">
      <c r="A4108" s="5" t="n"/>
      <c r="B4108" s="5" t="n"/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</row>
    <row r="4109">
      <c r="A4109" s="5" t="n"/>
      <c r="B4109" s="5" t="n"/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</row>
    <row r="4110">
      <c r="A4110" s="5" t="n"/>
      <c r="B4110" s="5" t="n"/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</row>
    <row r="4111">
      <c r="A4111" s="5" t="n"/>
      <c r="B4111" s="5" t="n"/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</row>
    <row r="4112">
      <c r="A4112" s="5" t="n"/>
      <c r="B4112" s="5" t="n"/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</row>
    <row r="4113">
      <c r="A4113" s="5" t="n"/>
      <c r="B4113" s="5" t="n"/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</row>
    <row r="4114">
      <c r="A4114" s="5" t="n"/>
      <c r="B4114" s="5" t="n"/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</row>
    <row r="4115">
      <c r="A4115" s="5" t="n"/>
      <c r="B4115" s="5" t="n"/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</row>
    <row r="4116">
      <c r="A4116" s="5" t="n"/>
      <c r="B4116" s="5" t="n"/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</row>
    <row r="4117">
      <c r="A4117" s="5" t="n"/>
      <c r="B4117" s="5" t="n"/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</row>
    <row r="4118">
      <c r="A4118" s="5" t="n"/>
      <c r="B4118" s="5" t="n"/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</row>
    <row r="4119">
      <c r="A4119" s="5" t="n"/>
      <c r="B4119" s="5" t="n"/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</row>
    <row r="4120">
      <c r="A4120" s="5" t="n"/>
      <c r="B4120" s="5" t="n"/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</row>
    <row r="4121">
      <c r="A4121" s="5" t="n"/>
      <c r="B4121" s="5" t="n"/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</row>
    <row r="4122">
      <c r="A4122" s="5" t="n"/>
      <c r="B4122" s="5" t="n"/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</row>
    <row r="4123">
      <c r="A4123" s="5" t="n"/>
      <c r="B4123" s="5" t="n"/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</row>
    <row r="4124">
      <c r="A4124" s="5" t="n"/>
      <c r="B4124" s="5" t="n"/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</row>
    <row r="4125">
      <c r="A4125" s="5" t="n"/>
      <c r="B4125" s="5" t="n"/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</row>
    <row r="4126">
      <c r="A4126" s="5" t="n"/>
      <c r="B4126" s="5" t="n"/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</row>
    <row r="4127">
      <c r="A4127" s="5" t="n"/>
      <c r="B4127" s="5" t="n"/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</row>
    <row r="4128">
      <c r="A4128" s="5" t="n"/>
      <c r="B4128" s="5" t="n"/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</row>
    <row r="4129">
      <c r="A4129" s="5" t="n"/>
      <c r="B4129" s="5" t="n"/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</row>
    <row r="4130">
      <c r="A4130" s="5" t="n"/>
      <c r="B4130" s="5" t="n"/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</row>
    <row r="4131">
      <c r="A4131" s="5" t="n"/>
      <c r="B4131" s="5" t="n"/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</row>
    <row r="4132">
      <c r="A4132" s="5" t="n"/>
      <c r="B4132" s="5" t="n"/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</row>
    <row r="4133">
      <c r="A4133" s="5" t="n"/>
      <c r="B4133" s="5" t="n"/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</row>
    <row r="4134">
      <c r="A4134" s="5" t="n"/>
      <c r="B4134" s="5" t="n"/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</row>
    <row r="4135">
      <c r="A4135" s="5" t="n"/>
      <c r="B4135" s="5" t="n"/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</row>
    <row r="4136">
      <c r="A4136" s="5" t="n"/>
      <c r="B4136" s="5" t="n"/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</row>
    <row r="4137">
      <c r="A4137" s="5" t="n"/>
      <c r="B4137" s="5" t="n"/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</row>
    <row r="4138">
      <c r="A4138" s="5" t="n"/>
      <c r="B4138" s="5" t="n"/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</row>
    <row r="4139">
      <c r="A4139" s="5" t="n"/>
      <c r="B4139" s="5" t="n"/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</row>
    <row r="4140">
      <c r="A4140" s="5" t="n"/>
      <c r="B4140" s="5" t="n"/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</row>
    <row r="4141">
      <c r="A4141" s="5" t="n"/>
      <c r="B4141" s="5" t="n"/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</row>
    <row r="4142">
      <c r="A4142" s="5" t="n"/>
      <c r="B4142" s="5" t="n"/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</row>
    <row r="4143">
      <c r="A4143" s="5" t="n"/>
      <c r="B4143" s="5" t="n"/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</row>
    <row r="4144">
      <c r="A4144" s="5" t="n"/>
      <c r="B4144" s="5" t="n"/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</row>
    <row r="4145">
      <c r="A4145" s="5" t="n"/>
      <c r="B4145" s="5" t="n"/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</row>
    <row r="4146">
      <c r="A4146" s="5" t="n"/>
      <c r="B4146" s="5" t="n"/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</row>
    <row r="4147">
      <c r="A4147" s="5" t="n"/>
      <c r="B4147" s="5" t="n"/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</row>
    <row r="4148">
      <c r="A4148" s="5" t="n"/>
      <c r="B4148" s="5" t="n"/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</row>
    <row r="4149">
      <c r="A4149" s="5" t="n"/>
      <c r="B4149" s="5" t="n"/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</row>
    <row r="4150">
      <c r="A4150" s="5" t="n"/>
      <c r="B4150" s="5" t="n"/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</row>
    <row r="4151">
      <c r="A4151" s="5" t="n"/>
      <c r="B4151" s="5" t="n"/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</row>
    <row r="4152">
      <c r="A4152" s="5" t="n"/>
      <c r="B4152" s="5" t="n"/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</row>
    <row r="4153">
      <c r="A4153" s="5" t="n"/>
      <c r="B4153" s="5" t="n"/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</row>
    <row r="4154">
      <c r="A4154" s="5" t="n"/>
      <c r="B4154" s="5" t="n"/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</row>
    <row r="4155">
      <c r="A4155" s="5" t="n"/>
      <c r="B4155" s="5" t="n"/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</row>
    <row r="4156">
      <c r="A4156" s="5" t="n"/>
      <c r="B4156" s="5" t="n"/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</row>
    <row r="4157">
      <c r="A4157" s="5" t="n"/>
      <c r="B4157" s="5" t="n"/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</row>
    <row r="4158">
      <c r="A4158" s="5" t="n"/>
      <c r="B4158" s="5" t="n"/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</row>
    <row r="4159">
      <c r="A4159" s="5" t="n"/>
      <c r="B4159" s="5" t="n"/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</row>
    <row r="4160">
      <c r="A4160" s="5" t="n"/>
      <c r="B4160" s="5" t="n"/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</row>
    <row r="4161">
      <c r="A4161" s="5" t="n"/>
      <c r="B4161" s="5" t="n"/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</row>
    <row r="4162">
      <c r="A4162" s="5" t="n"/>
      <c r="B4162" s="5" t="n"/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</row>
    <row r="4163">
      <c r="A4163" s="5" t="n"/>
      <c r="B4163" s="5" t="n"/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</row>
    <row r="4164">
      <c r="A4164" s="5" t="n"/>
      <c r="B4164" s="5" t="n"/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</row>
    <row r="4165">
      <c r="A4165" s="5" t="n"/>
      <c r="B4165" s="5" t="n"/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</row>
    <row r="4166">
      <c r="A4166" s="5" t="n"/>
      <c r="B4166" s="5" t="n"/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</row>
    <row r="4167">
      <c r="A4167" s="5" t="n"/>
      <c r="B4167" s="5" t="n"/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</row>
    <row r="4168">
      <c r="A4168" s="5" t="n"/>
      <c r="B4168" s="5" t="n"/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</row>
    <row r="4169">
      <c r="A4169" s="5" t="n"/>
      <c r="B4169" s="5" t="n"/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</row>
    <row r="4170">
      <c r="A4170" s="5" t="n"/>
      <c r="B4170" s="5" t="n"/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</row>
    <row r="4171">
      <c r="A4171" s="5" t="n"/>
      <c r="B4171" s="5" t="n"/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</row>
    <row r="4172">
      <c r="A4172" s="5" t="n"/>
      <c r="B4172" s="5" t="n"/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</row>
    <row r="4173">
      <c r="A4173" s="5" t="n"/>
      <c r="B4173" s="5" t="n"/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</row>
    <row r="4174">
      <c r="A4174" s="5" t="n"/>
      <c r="B4174" s="5" t="n"/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</row>
    <row r="4175">
      <c r="A4175" s="5" t="n"/>
      <c r="B4175" s="5" t="n"/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</row>
    <row r="4176">
      <c r="A4176" s="5" t="n"/>
      <c r="B4176" s="5" t="n"/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</row>
    <row r="4177">
      <c r="A4177" s="5" t="n"/>
      <c r="B4177" s="5" t="n"/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</row>
    <row r="4178">
      <c r="A4178" s="5" t="n"/>
      <c r="B4178" s="5" t="n"/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</row>
    <row r="4179">
      <c r="A4179" s="5" t="n"/>
      <c r="B4179" s="5" t="n"/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</row>
    <row r="4180">
      <c r="A4180" s="5" t="n"/>
      <c r="B4180" s="5" t="n"/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</row>
    <row r="4181">
      <c r="A4181" s="5" t="n"/>
      <c r="B4181" s="5" t="n"/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</row>
    <row r="4182">
      <c r="A4182" s="5" t="n"/>
      <c r="B4182" s="5" t="n"/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</row>
    <row r="4183">
      <c r="A4183" s="5" t="n"/>
      <c r="B4183" s="5" t="n"/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</row>
    <row r="4184">
      <c r="A4184" s="5" t="n"/>
      <c r="B4184" s="5" t="n"/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</row>
    <row r="4185">
      <c r="A4185" s="5" t="n"/>
      <c r="B4185" s="5" t="n"/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</row>
    <row r="4186">
      <c r="A4186" s="5" t="n"/>
      <c r="B4186" s="5" t="n"/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</row>
    <row r="4187">
      <c r="A4187" s="5" t="n"/>
      <c r="B4187" s="5" t="n"/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</row>
    <row r="4188">
      <c r="A4188" s="5" t="n"/>
      <c r="B4188" s="5" t="n"/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</row>
    <row r="4189">
      <c r="A4189" s="5" t="n"/>
      <c r="B4189" s="5" t="n"/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</row>
    <row r="4190">
      <c r="A4190" s="5" t="n"/>
      <c r="B4190" s="5" t="n"/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</row>
    <row r="4191">
      <c r="A4191" s="5" t="n"/>
      <c r="B4191" s="5" t="n"/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</row>
    <row r="4192">
      <c r="A4192" s="5" t="n"/>
      <c r="B4192" s="5" t="n"/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</row>
    <row r="4193">
      <c r="A4193" s="5" t="n"/>
      <c r="B4193" s="5" t="n"/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</row>
    <row r="4194">
      <c r="A4194" s="5" t="n"/>
      <c r="B4194" s="5" t="n"/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</row>
    <row r="4195">
      <c r="A4195" s="5" t="n"/>
      <c r="B4195" s="5" t="n"/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</row>
    <row r="4196">
      <c r="A4196" s="5" t="n"/>
      <c r="B4196" s="5" t="n"/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</row>
    <row r="4197">
      <c r="A4197" s="5" t="n"/>
      <c r="B4197" s="5" t="n"/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</row>
    <row r="4198">
      <c r="A4198" s="5" t="n"/>
      <c r="B4198" s="5" t="n"/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</row>
    <row r="4199">
      <c r="A4199" s="5" t="n"/>
      <c r="B4199" s="5" t="n"/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</row>
    <row r="4200">
      <c r="A4200" s="5" t="n"/>
      <c r="B4200" s="5" t="n"/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</row>
    <row r="4201">
      <c r="A4201" s="5" t="n"/>
      <c r="B4201" s="5" t="n"/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</row>
    <row r="4202">
      <c r="A4202" s="5" t="n"/>
      <c r="B4202" s="5" t="n"/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</row>
    <row r="4203">
      <c r="A4203" s="5" t="n"/>
      <c r="B4203" s="5" t="n"/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</row>
    <row r="4204">
      <c r="A4204" s="5" t="n"/>
      <c r="B4204" s="5" t="n"/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</row>
    <row r="4205">
      <c r="A4205" s="5" t="n"/>
      <c r="B4205" s="5" t="n"/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</row>
    <row r="4206">
      <c r="A4206" s="5" t="n"/>
      <c r="B4206" s="5" t="n"/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</row>
    <row r="4207">
      <c r="A4207" s="5" t="n"/>
      <c r="B4207" s="5" t="n"/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</row>
    <row r="4208">
      <c r="A4208" s="5" t="n"/>
      <c r="B4208" s="5" t="n"/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</row>
    <row r="4209">
      <c r="A4209" s="5" t="n"/>
      <c r="B4209" s="5" t="n"/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</row>
    <row r="4210">
      <c r="A4210" s="5" t="n"/>
      <c r="B4210" s="5" t="n"/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</row>
    <row r="4211">
      <c r="A4211" s="5" t="n"/>
      <c r="B4211" s="5" t="n"/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</row>
    <row r="4212">
      <c r="A4212" s="5" t="n"/>
      <c r="B4212" s="5" t="n"/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</row>
    <row r="4213">
      <c r="A4213" s="5" t="n"/>
      <c r="B4213" s="5" t="n"/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</row>
    <row r="4214">
      <c r="A4214" s="5" t="n"/>
      <c r="B4214" s="5" t="n"/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</row>
    <row r="4215">
      <c r="A4215" s="5" t="n"/>
      <c r="B4215" s="5" t="n"/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</row>
    <row r="4216">
      <c r="A4216" s="5" t="n"/>
      <c r="B4216" s="5" t="n"/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</row>
    <row r="4217">
      <c r="A4217" s="5" t="n"/>
      <c r="B4217" s="5" t="n"/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</row>
    <row r="4218">
      <c r="A4218" s="5" t="n"/>
      <c r="B4218" s="5" t="n"/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</row>
    <row r="4219">
      <c r="A4219" s="5" t="n"/>
      <c r="B4219" s="5" t="n"/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</row>
    <row r="4220">
      <c r="A4220" s="5" t="n"/>
      <c r="B4220" s="5" t="n"/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</row>
    <row r="4221">
      <c r="A4221" s="5" t="n"/>
      <c r="B4221" s="5" t="n"/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</row>
    <row r="4222">
      <c r="A4222" s="5" t="n"/>
      <c r="B4222" s="5" t="n"/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</row>
    <row r="4223">
      <c r="A4223" s="5" t="n"/>
      <c r="B4223" s="5" t="n"/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</row>
    <row r="4224">
      <c r="A4224" s="5" t="n"/>
      <c r="B4224" s="5" t="n"/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</row>
    <row r="4225">
      <c r="A4225" s="5" t="n"/>
      <c r="B4225" s="5" t="n"/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</row>
    <row r="4226">
      <c r="A4226" s="5" t="n"/>
      <c r="B4226" s="5" t="n"/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</row>
    <row r="4227">
      <c r="A4227" s="5" t="n"/>
      <c r="B4227" s="5" t="n"/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</row>
    <row r="4228">
      <c r="A4228" s="5" t="n"/>
      <c r="B4228" s="5" t="n"/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</row>
    <row r="4229">
      <c r="A4229" s="5" t="n"/>
      <c r="B4229" s="5" t="n"/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</row>
    <row r="4230">
      <c r="A4230" s="5" t="n"/>
      <c r="B4230" s="5" t="n"/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</row>
    <row r="4231">
      <c r="A4231" s="5" t="n"/>
      <c r="B4231" s="5" t="n"/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</row>
    <row r="4232">
      <c r="A4232" s="5" t="n"/>
      <c r="B4232" s="5" t="n"/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</row>
    <row r="4233">
      <c r="A4233" s="5" t="n"/>
      <c r="B4233" s="5" t="n"/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</row>
    <row r="4234">
      <c r="A4234" s="5" t="n"/>
      <c r="B4234" s="5" t="n"/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</row>
    <row r="4235">
      <c r="A4235" s="5" t="n"/>
      <c r="B4235" s="5" t="n"/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</row>
    <row r="4236">
      <c r="A4236" s="5" t="n"/>
      <c r="B4236" s="5" t="n"/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</row>
    <row r="4237">
      <c r="A4237" s="5" t="n"/>
      <c r="B4237" s="5" t="n"/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</row>
    <row r="4238">
      <c r="A4238" s="5" t="n"/>
      <c r="B4238" s="5" t="n"/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</row>
    <row r="4239">
      <c r="A4239" s="5" t="n"/>
      <c r="B4239" s="5" t="n"/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</row>
    <row r="4240">
      <c r="A4240" s="5" t="n"/>
      <c r="B4240" s="5" t="n"/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</row>
    <row r="4241">
      <c r="A4241" s="5" t="n"/>
      <c r="B4241" s="5" t="n"/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</row>
    <row r="4242">
      <c r="A4242" s="5" t="n"/>
      <c r="B4242" s="5" t="n"/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</row>
    <row r="4243">
      <c r="A4243" s="5" t="n"/>
      <c r="B4243" s="5" t="n"/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</row>
    <row r="4244">
      <c r="A4244" s="5" t="n"/>
      <c r="B4244" s="5" t="n"/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</row>
    <row r="4245">
      <c r="A4245" s="5" t="n"/>
      <c r="B4245" s="5" t="n"/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</row>
    <row r="4246">
      <c r="A4246" s="5" t="n"/>
      <c r="B4246" s="5" t="n"/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</row>
    <row r="4247">
      <c r="A4247" s="5" t="n"/>
      <c r="B4247" s="5" t="n"/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</row>
    <row r="4248">
      <c r="A4248" s="5" t="n"/>
      <c r="B4248" s="5" t="n"/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</row>
    <row r="4249">
      <c r="A4249" s="5" t="n"/>
      <c r="B4249" s="5" t="n"/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</row>
    <row r="4250">
      <c r="A4250" s="5" t="n"/>
      <c r="B4250" s="5" t="n"/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</row>
    <row r="4251">
      <c r="A4251" s="5" t="n"/>
      <c r="B4251" s="5" t="n"/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</row>
    <row r="4252">
      <c r="A4252" s="5" t="n"/>
      <c r="B4252" s="5" t="n"/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</row>
    <row r="4253">
      <c r="A4253" s="5" t="n"/>
      <c r="B4253" s="5" t="n"/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</row>
    <row r="4254">
      <c r="A4254" s="5" t="n"/>
      <c r="B4254" s="5" t="n"/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</row>
    <row r="4255">
      <c r="A4255" s="5" t="n"/>
      <c r="B4255" s="5" t="n"/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</row>
    <row r="4256">
      <c r="A4256" s="5" t="n"/>
      <c r="B4256" s="5" t="n"/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</row>
    <row r="4257">
      <c r="A4257" s="5" t="n"/>
      <c r="B4257" s="5" t="n"/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</row>
    <row r="4258">
      <c r="A4258" s="5" t="n"/>
      <c r="B4258" s="5" t="n"/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</row>
    <row r="4259">
      <c r="A4259" s="5" t="n"/>
      <c r="B4259" s="5" t="n"/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</row>
    <row r="4260">
      <c r="A4260" s="5" t="n"/>
      <c r="B4260" s="5" t="n"/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</row>
    <row r="4261">
      <c r="A4261" s="5" t="n"/>
      <c r="B4261" s="5" t="n"/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</row>
    <row r="4262">
      <c r="A4262" s="5" t="n"/>
      <c r="B4262" s="5" t="n"/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</row>
    <row r="4263">
      <c r="A4263" s="5" t="n"/>
      <c r="B4263" s="5" t="n"/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</row>
    <row r="4264">
      <c r="A4264" s="5" t="n"/>
      <c r="B4264" s="5" t="n"/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</row>
    <row r="4265">
      <c r="A4265" s="5" t="n"/>
      <c r="B4265" s="5" t="n"/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</row>
    <row r="4266">
      <c r="A4266" s="5" t="n"/>
      <c r="B4266" s="5" t="n"/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</row>
    <row r="4267">
      <c r="A4267" s="5" t="n"/>
      <c r="B4267" s="5" t="n"/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</row>
    <row r="4268">
      <c r="A4268" s="5" t="n"/>
      <c r="B4268" s="5" t="n"/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</row>
    <row r="4269">
      <c r="A4269" s="5" t="n"/>
      <c r="B4269" s="5" t="n"/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</row>
    <row r="4270">
      <c r="A4270" s="5" t="n"/>
      <c r="B4270" s="5" t="n"/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</row>
    <row r="4271">
      <c r="A4271" s="5" t="n"/>
      <c r="B4271" s="5" t="n"/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</row>
    <row r="4272">
      <c r="A4272" s="5" t="n"/>
      <c r="B4272" s="5" t="n"/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</row>
    <row r="4273">
      <c r="A4273" s="5" t="n"/>
      <c r="B4273" s="5" t="n"/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</row>
    <row r="4274">
      <c r="A4274" s="5" t="n"/>
      <c r="B4274" s="5" t="n"/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</row>
    <row r="4275">
      <c r="A4275" s="5" t="n"/>
      <c r="B4275" s="5" t="n"/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</row>
    <row r="4276">
      <c r="A4276" s="5" t="n"/>
      <c r="B4276" s="5" t="n"/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</row>
    <row r="4277">
      <c r="A4277" s="5" t="n"/>
      <c r="B4277" s="5" t="n"/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</row>
    <row r="4278">
      <c r="A4278" s="5" t="n"/>
      <c r="B4278" s="5" t="n"/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</row>
    <row r="4279">
      <c r="A4279" s="5" t="n"/>
      <c r="B4279" s="5" t="n"/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</row>
    <row r="4280">
      <c r="A4280" s="5" t="n"/>
      <c r="B4280" s="5" t="n"/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</row>
    <row r="4281">
      <c r="A4281" s="5" t="n"/>
      <c r="B4281" s="5" t="n"/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</row>
    <row r="4282">
      <c r="A4282" s="5" t="n"/>
      <c r="B4282" s="5" t="n"/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</row>
    <row r="4283">
      <c r="A4283" s="5" t="n"/>
      <c r="B4283" s="5" t="n"/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</row>
    <row r="4284">
      <c r="A4284" s="5" t="n"/>
      <c r="B4284" s="5" t="n"/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</row>
    <row r="4285">
      <c r="A4285" s="5" t="n"/>
      <c r="B4285" s="5" t="n"/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</row>
    <row r="4286">
      <c r="A4286" s="5" t="n"/>
      <c r="B4286" s="5" t="n"/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</row>
    <row r="4287">
      <c r="A4287" s="5" t="n"/>
      <c r="B4287" s="5" t="n"/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</row>
    <row r="4288">
      <c r="A4288" s="5" t="n"/>
      <c r="B4288" s="5" t="n"/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</row>
    <row r="4289">
      <c r="A4289" s="5" t="n"/>
      <c r="B4289" s="5" t="n"/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</row>
    <row r="4290">
      <c r="A4290" s="5" t="n"/>
      <c r="B4290" s="5" t="n"/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</row>
    <row r="4291">
      <c r="A4291" s="5" t="n"/>
      <c r="B4291" s="5" t="n"/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</row>
    <row r="4292">
      <c r="A4292" s="5" t="n"/>
      <c r="B4292" s="5" t="n"/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</row>
    <row r="4293">
      <c r="A4293" s="5" t="n"/>
      <c r="B4293" s="5" t="n"/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</row>
    <row r="4294">
      <c r="A4294" s="5" t="n"/>
      <c r="B4294" s="5" t="n"/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</row>
    <row r="4295">
      <c r="A4295" s="5" t="n"/>
      <c r="B4295" s="5" t="n"/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</row>
    <row r="4296">
      <c r="A4296" s="5" t="n"/>
      <c r="B4296" s="5" t="n"/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</row>
    <row r="4297">
      <c r="A4297" s="5" t="n"/>
      <c r="B4297" s="5" t="n"/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</row>
    <row r="4298">
      <c r="A4298" s="5" t="n"/>
      <c r="B4298" s="5" t="n"/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</row>
    <row r="4299">
      <c r="A4299" s="5" t="n"/>
      <c r="B4299" s="5" t="n"/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</row>
    <row r="4300">
      <c r="A4300" s="5" t="n"/>
      <c r="B4300" s="5" t="n"/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</row>
    <row r="4301">
      <c r="A4301" s="5" t="n"/>
      <c r="B4301" s="5" t="n"/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</row>
    <row r="4302">
      <c r="A4302" s="5" t="n"/>
      <c r="B4302" s="5" t="n"/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</row>
    <row r="4303">
      <c r="A4303" s="5" t="n"/>
      <c r="B4303" s="5" t="n"/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</row>
    <row r="4304">
      <c r="A4304" s="5" t="n"/>
      <c r="B4304" s="5" t="n"/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</row>
    <row r="4305">
      <c r="A4305" s="5" t="n"/>
      <c r="B4305" s="5" t="n"/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</row>
    <row r="4306">
      <c r="A4306" s="5" t="n"/>
      <c r="B4306" s="5" t="n"/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</row>
    <row r="4307">
      <c r="A4307" s="5" t="n"/>
      <c r="B4307" s="5" t="n"/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</row>
    <row r="4308">
      <c r="A4308" s="5" t="n"/>
      <c r="B4308" s="5" t="n"/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</row>
    <row r="4309">
      <c r="A4309" s="5" t="n"/>
      <c r="B4309" s="5" t="n"/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</row>
    <row r="4310">
      <c r="A4310" s="5" t="n"/>
      <c r="B4310" s="5" t="n"/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</row>
    <row r="4311">
      <c r="A4311" s="5" t="n"/>
      <c r="B4311" s="5" t="n"/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</row>
    <row r="4312">
      <c r="A4312" s="5" t="n"/>
      <c r="B4312" s="5" t="n"/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</row>
    <row r="4313">
      <c r="A4313" s="5" t="n"/>
      <c r="B4313" s="5" t="n"/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</row>
    <row r="4314">
      <c r="A4314" s="5" t="n"/>
      <c r="B4314" s="5" t="n"/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</row>
    <row r="4315">
      <c r="A4315" s="5" t="n"/>
      <c r="B4315" s="5" t="n"/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</row>
    <row r="4316">
      <c r="A4316" s="5" t="n"/>
      <c r="B4316" s="5" t="n"/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</row>
    <row r="4317">
      <c r="A4317" s="5" t="n"/>
      <c r="B4317" s="5" t="n"/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</row>
    <row r="4318">
      <c r="A4318" s="5" t="n"/>
      <c r="B4318" s="5" t="n"/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</row>
    <row r="4319">
      <c r="A4319" s="5" t="n"/>
      <c r="B4319" s="5" t="n"/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</row>
    <row r="4320">
      <c r="A4320" s="5" t="n"/>
      <c r="B4320" s="5" t="n"/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</row>
    <row r="4321">
      <c r="A4321" s="5" t="n"/>
      <c r="B4321" s="5" t="n"/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</row>
    <row r="4322">
      <c r="A4322" s="5" t="n"/>
      <c r="B4322" s="5" t="n"/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</row>
    <row r="4323">
      <c r="A4323" s="5" t="n"/>
      <c r="B4323" s="5" t="n"/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</row>
    <row r="4324">
      <c r="A4324" s="5" t="n"/>
      <c r="B4324" s="5" t="n"/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</row>
    <row r="4325">
      <c r="A4325" s="5" t="n"/>
      <c r="B4325" s="5" t="n"/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</row>
    <row r="4326">
      <c r="A4326" s="5" t="n"/>
      <c r="B4326" s="5" t="n"/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</row>
    <row r="4327">
      <c r="A4327" s="5" t="n"/>
      <c r="B4327" s="5" t="n"/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</row>
    <row r="4328">
      <c r="A4328" s="5" t="n"/>
      <c r="B4328" s="5" t="n"/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</row>
    <row r="4329">
      <c r="A4329" s="5" t="n"/>
      <c r="B4329" s="5" t="n"/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</row>
    <row r="4330">
      <c r="A4330" s="5" t="n"/>
      <c r="B4330" s="5" t="n"/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</row>
    <row r="4331">
      <c r="A4331" s="5" t="n"/>
      <c r="B4331" s="5" t="n"/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</row>
    <row r="4332">
      <c r="A4332" s="5" t="n"/>
      <c r="B4332" s="5" t="n"/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</row>
    <row r="4333">
      <c r="A4333" s="5" t="n"/>
      <c r="B4333" s="5" t="n"/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</row>
    <row r="4334">
      <c r="A4334" s="5" t="n"/>
      <c r="B4334" s="5" t="n"/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</row>
    <row r="4335">
      <c r="A4335" s="5" t="n"/>
      <c r="B4335" s="5" t="n"/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</row>
    <row r="4336">
      <c r="A4336" s="5" t="n"/>
      <c r="B4336" s="5" t="n"/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</row>
    <row r="4337">
      <c r="A4337" s="5" t="n"/>
      <c r="B4337" s="5" t="n"/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</row>
    <row r="4338">
      <c r="A4338" s="5" t="n"/>
      <c r="B4338" s="5" t="n"/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</row>
    <row r="4339">
      <c r="A4339" s="5" t="n"/>
      <c r="B4339" s="5" t="n"/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</row>
    <row r="4340">
      <c r="A4340" s="5" t="n"/>
      <c r="B4340" s="5" t="n"/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</row>
    <row r="4341">
      <c r="A4341" s="5" t="n"/>
      <c r="B4341" s="5" t="n"/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</row>
    <row r="4342">
      <c r="A4342" s="5" t="n"/>
      <c r="B4342" s="5" t="n"/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</row>
    <row r="4343">
      <c r="A4343" s="5" t="n"/>
      <c r="B4343" s="5" t="n"/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</row>
    <row r="4344">
      <c r="A4344" s="5" t="n"/>
      <c r="B4344" s="5" t="n"/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</row>
    <row r="4345">
      <c r="A4345" s="5" t="n"/>
      <c r="B4345" s="5" t="n"/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</row>
    <row r="4346">
      <c r="A4346" s="5" t="n"/>
      <c r="B4346" s="5" t="n"/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</row>
    <row r="4347">
      <c r="A4347" s="5" t="n"/>
      <c r="B4347" s="5" t="n"/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</row>
    <row r="4348">
      <c r="A4348" s="5" t="n"/>
      <c r="B4348" s="5" t="n"/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</row>
    <row r="4349">
      <c r="A4349" s="5" t="n"/>
      <c r="B4349" s="5" t="n"/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</row>
    <row r="4350">
      <c r="A4350" s="5" t="n"/>
      <c r="B4350" s="5" t="n"/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</row>
    <row r="4351">
      <c r="A4351" s="5" t="n"/>
      <c r="B4351" s="5" t="n"/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</row>
    <row r="4352">
      <c r="A4352" s="5" t="n"/>
      <c r="B4352" s="5" t="n"/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</row>
    <row r="4353">
      <c r="A4353" s="5" t="n"/>
      <c r="B4353" s="5" t="n"/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</row>
    <row r="4354">
      <c r="A4354" s="5" t="n"/>
      <c r="B4354" s="5" t="n"/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</row>
    <row r="4355">
      <c r="A4355" s="5" t="n"/>
      <c r="B4355" s="5" t="n"/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</row>
    <row r="4356">
      <c r="A4356" s="5" t="n"/>
      <c r="B4356" s="5" t="n"/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</row>
    <row r="4357">
      <c r="A4357" s="5" t="n"/>
      <c r="B4357" s="5" t="n"/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</row>
    <row r="4358">
      <c r="A4358" s="5" t="n"/>
      <c r="B4358" s="5" t="n"/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</row>
    <row r="4359">
      <c r="A4359" s="5" t="n"/>
      <c r="B4359" s="5" t="n"/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</row>
    <row r="4360">
      <c r="A4360" s="5" t="n"/>
      <c r="B4360" s="5" t="n"/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</row>
    <row r="4361">
      <c r="A4361" s="5" t="n"/>
      <c r="B4361" s="5" t="n"/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</row>
    <row r="4362">
      <c r="A4362" s="5" t="n"/>
      <c r="B4362" s="5" t="n"/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</row>
    <row r="4363">
      <c r="A4363" s="5" t="n"/>
      <c r="B4363" s="5" t="n"/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</row>
    <row r="4364">
      <c r="A4364" s="5" t="n"/>
      <c r="B4364" s="5" t="n"/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</row>
    <row r="4365">
      <c r="A4365" s="5" t="n"/>
      <c r="B4365" s="5" t="n"/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</row>
    <row r="4366">
      <c r="A4366" s="5" t="n"/>
      <c r="B4366" s="5" t="n"/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</row>
    <row r="4367">
      <c r="A4367" s="5" t="n"/>
      <c r="B4367" s="5" t="n"/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</row>
    <row r="4368">
      <c r="A4368" s="5" t="n"/>
      <c r="B4368" s="5" t="n"/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</row>
    <row r="4369">
      <c r="A4369" s="5" t="n"/>
      <c r="B4369" s="5" t="n"/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</row>
    <row r="4370">
      <c r="A4370" s="5" t="n"/>
      <c r="B4370" s="5" t="n"/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</row>
    <row r="4371">
      <c r="A4371" s="5" t="n"/>
      <c r="B4371" s="5" t="n"/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</row>
    <row r="4372">
      <c r="A4372" s="5" t="n"/>
      <c r="B4372" s="5" t="n"/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</row>
    <row r="4373">
      <c r="A4373" s="5" t="n"/>
      <c r="B4373" s="5" t="n"/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</row>
    <row r="4374">
      <c r="A4374" s="5" t="n"/>
      <c r="B4374" s="5" t="n"/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</row>
    <row r="4375">
      <c r="A4375" s="5" t="n"/>
      <c r="B4375" s="5" t="n"/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</row>
    <row r="4376">
      <c r="A4376" s="5" t="n"/>
      <c r="B4376" s="5" t="n"/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</row>
    <row r="4377">
      <c r="A4377" s="5" t="n"/>
      <c r="B4377" s="5" t="n"/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</row>
    <row r="4378">
      <c r="A4378" s="5" t="n"/>
      <c r="B4378" s="5" t="n"/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</row>
    <row r="4379">
      <c r="A4379" s="5" t="n"/>
      <c r="B4379" s="5" t="n"/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</row>
    <row r="4380">
      <c r="A4380" s="5" t="n"/>
      <c r="B4380" s="5" t="n"/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</row>
    <row r="4381">
      <c r="A4381" s="5" t="n"/>
      <c r="B4381" s="5" t="n"/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</row>
    <row r="4382">
      <c r="A4382" s="5" t="n"/>
      <c r="B4382" s="5" t="n"/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</row>
    <row r="4383">
      <c r="A4383" s="5" t="n"/>
      <c r="B4383" s="5" t="n"/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</row>
    <row r="4384">
      <c r="A4384" s="5" t="n"/>
      <c r="B4384" s="5" t="n"/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</row>
    <row r="4385">
      <c r="A4385" s="5" t="n"/>
      <c r="B4385" s="5" t="n"/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</row>
    <row r="4386">
      <c r="A4386" s="5" t="n"/>
      <c r="B4386" s="5" t="n"/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</row>
    <row r="4387">
      <c r="A4387" s="5" t="n"/>
      <c r="B4387" s="5" t="n"/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</row>
    <row r="4388">
      <c r="A4388" s="5" t="n"/>
      <c r="B4388" s="5" t="n"/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</row>
    <row r="4389">
      <c r="A4389" s="5" t="n"/>
      <c r="B4389" s="5" t="n"/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</row>
    <row r="4390">
      <c r="A4390" s="5" t="n"/>
      <c r="B4390" s="5" t="n"/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</row>
    <row r="4391">
      <c r="A4391" s="5" t="n"/>
      <c r="B4391" s="5" t="n"/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</row>
    <row r="4392">
      <c r="A4392" s="5" t="n"/>
      <c r="B4392" s="5" t="n"/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</row>
    <row r="4393">
      <c r="A4393" s="5" t="n"/>
      <c r="B4393" s="5" t="n"/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</row>
    <row r="4394">
      <c r="A4394" s="5" t="n"/>
      <c r="B4394" s="5" t="n"/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</row>
    <row r="4395">
      <c r="A4395" s="5" t="n"/>
      <c r="B4395" s="5" t="n"/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</row>
    <row r="4396">
      <c r="A4396" s="5" t="n"/>
      <c r="B4396" s="5" t="n"/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</row>
    <row r="4397">
      <c r="A4397" s="5" t="n"/>
      <c r="B4397" s="5" t="n"/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</row>
    <row r="4398">
      <c r="A4398" s="5" t="n"/>
      <c r="B4398" s="5" t="n"/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</row>
    <row r="4399">
      <c r="A4399" s="5" t="n"/>
      <c r="B4399" s="5" t="n"/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</row>
    <row r="4402">
      <c r="A4402" s="5" t="n"/>
      <c r="B4402" s="5" t="n"/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</row>
    <row r="4403">
      <c r="A4403" s="5" t="n"/>
      <c r="B4403" s="5" t="n"/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</row>
    <row r="4404">
      <c r="A4404" s="5" t="n"/>
      <c r="B4404" s="5" t="n"/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</row>
    <row r="4405">
      <c r="A4405" s="5" t="n"/>
      <c r="B4405" s="5" t="n"/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</row>
    <row r="4406">
      <c r="A4406" s="5" t="n"/>
      <c r="B4406" s="5" t="n"/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</row>
    <row r="4407">
      <c r="A4407" s="5" t="n"/>
      <c r="B4407" s="5" t="n"/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</row>
    <row r="4408">
      <c r="A4408" s="5" t="n"/>
      <c r="B4408" s="5" t="n"/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</row>
    <row r="4409">
      <c r="A4409" s="5" t="n"/>
      <c r="B4409" s="5" t="n"/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</row>
    <row r="4410">
      <c r="A4410" s="5" t="n"/>
      <c r="B4410" s="5" t="n"/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</row>
    <row r="4411">
      <c r="A4411" s="5" t="n"/>
      <c r="B4411" s="5" t="n"/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</row>
    <row r="4412">
      <c r="A4412" s="5" t="n"/>
      <c r="B4412" s="5" t="n"/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</row>
    <row r="4413">
      <c r="A4413" s="5" t="n"/>
      <c r="B4413" s="5" t="n"/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</row>
    <row r="4414">
      <c r="A4414" s="5" t="n"/>
      <c r="B4414" s="5" t="n"/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</row>
    <row r="4417">
      <c r="A4417" s="5" t="n"/>
      <c r="B4417" s="5" t="n"/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</row>
    <row r="4418">
      <c r="A4418" s="5" t="n"/>
      <c r="B4418" s="5" t="n"/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</row>
    <row r="4419">
      <c r="A4419" s="5" t="n"/>
      <c r="B4419" s="5" t="n"/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</row>
    <row r="4420">
      <c r="A4420" s="5" t="n"/>
      <c r="B4420" s="5" t="n"/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</row>
    <row r="4421">
      <c r="A4421" s="5" t="n"/>
      <c r="B4421" s="5" t="n"/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</row>
    <row r="4422">
      <c r="A4422" s="5" t="n"/>
      <c r="B4422" s="5" t="n"/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</row>
    <row r="4423">
      <c r="A4423" s="5" t="n"/>
      <c r="B4423" s="5" t="n"/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</row>
    <row r="4424">
      <c r="A4424" s="5" t="n"/>
      <c r="B4424" s="5" t="n"/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</row>
    <row r="4425">
      <c r="A4425" s="5" t="n"/>
      <c r="B4425" s="5" t="n"/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</row>
    <row r="4426">
      <c r="A4426" s="5" t="n"/>
      <c r="B4426" s="5" t="n"/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</row>
    <row r="4427">
      <c r="A4427" s="5" t="n"/>
      <c r="B4427" s="5" t="n"/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</row>
    <row r="4428">
      <c r="A4428" s="5" t="n"/>
      <c r="B4428" s="5" t="n"/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</row>
    <row r="4429">
      <c r="A4429" s="5" t="n"/>
      <c r="B4429" s="5" t="n"/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</row>
    <row r="4432">
      <c r="A4432" s="5" t="n"/>
      <c r="B4432" s="5" t="n"/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</row>
    <row r="4433">
      <c r="A4433" s="5" t="n"/>
      <c r="B4433" s="5" t="n"/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</row>
    <row r="4434">
      <c r="A4434" s="5" t="n"/>
      <c r="B4434" s="5" t="n"/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</row>
    <row r="4435">
      <c r="A4435" s="5" t="n"/>
      <c r="B4435" s="5" t="n"/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</row>
    <row r="4436">
      <c r="A4436" s="5" t="n"/>
      <c r="B4436" s="5" t="n"/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</row>
    <row r="4437">
      <c r="A4437" s="5" t="n"/>
      <c r="B4437" s="5" t="n"/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</row>
    <row r="4438">
      <c r="A4438" s="5" t="n"/>
      <c r="B4438" s="5" t="n"/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</row>
    <row r="4439">
      <c r="A4439" s="5" t="n"/>
      <c r="B4439" s="5" t="n"/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</row>
    <row r="4440">
      <c r="A4440" s="5" t="n"/>
      <c r="B4440" s="5" t="n"/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</row>
    <row r="4441">
      <c r="A4441" s="5" t="n"/>
      <c r="B4441" s="5" t="n"/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</row>
    <row r="4442">
      <c r="A4442" s="5" t="n"/>
      <c r="B4442" s="5" t="n"/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</row>
    <row r="4443">
      <c r="A4443" s="5" t="n"/>
      <c r="B4443" s="5" t="n"/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</row>
    <row r="4444">
      <c r="A4444" s="5" t="n"/>
      <c r="B4444" s="5" t="n"/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</row>
    <row r="4447">
      <c r="A4447" s="5" t="n"/>
      <c r="B4447" s="5" t="n"/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</row>
    <row r="4448">
      <c r="A4448" s="5" t="n"/>
      <c r="B4448" s="5" t="n"/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</row>
    <row r="4449">
      <c r="A4449" s="5" t="n"/>
      <c r="B4449" s="5" t="n"/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</row>
    <row r="4450">
      <c r="A4450" s="5" t="n"/>
      <c r="B4450" s="5" t="n"/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</row>
    <row r="4451">
      <c r="A4451" s="5" t="n"/>
      <c r="B4451" s="5" t="n"/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</row>
    <row r="4452">
      <c r="A4452" s="5" t="n"/>
      <c r="B4452" s="5" t="n"/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</row>
    <row r="4453">
      <c r="A4453" s="5" t="n"/>
      <c r="B4453" s="5" t="n"/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</row>
    <row r="4454">
      <c r="A4454" s="5" t="n"/>
      <c r="B4454" s="5" t="n"/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</row>
    <row r="4455">
      <c r="A4455" s="5" t="n"/>
      <c r="B4455" s="5" t="n"/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</row>
    <row r="4456">
      <c r="A4456" s="5" t="n"/>
      <c r="B4456" s="5" t="n"/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</row>
    <row r="4457">
      <c r="A4457" s="5" t="n"/>
      <c r="B4457" s="5" t="n"/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</row>
    <row r="4458">
      <c r="A4458" s="5" t="n"/>
      <c r="B4458" s="5" t="n"/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</row>
    <row r="4459">
      <c r="A4459" s="5" t="n"/>
      <c r="B4459" s="5" t="n"/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</row>
    <row r="4462">
      <c r="A4462" s="5" t="n"/>
      <c r="B4462" s="5" t="n"/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</row>
    <row r="4463">
      <c r="A4463" s="5" t="n"/>
      <c r="B4463" s="5" t="n"/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</row>
    <row r="4464">
      <c r="A4464" s="5" t="n"/>
      <c r="B4464" s="5" t="n"/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</row>
    <row r="4465">
      <c r="A4465" s="5" t="n"/>
      <c r="B4465" s="5" t="n"/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</row>
    <row r="4466">
      <c r="A4466" s="5" t="n"/>
      <c r="B4466" s="5" t="n"/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</row>
    <row r="4467">
      <c r="A4467" s="5" t="n"/>
      <c r="B4467" s="5" t="n"/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</row>
    <row r="4468">
      <c r="A4468" s="5" t="n"/>
      <c r="B4468" s="5" t="n"/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</row>
    <row r="4469">
      <c r="A4469" s="5" t="n"/>
      <c r="B4469" s="5" t="n"/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</row>
    <row r="4470">
      <c r="A4470" s="5" t="n"/>
      <c r="B4470" s="5" t="n"/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</row>
    <row r="4471">
      <c r="A4471" s="5" t="n"/>
      <c r="B4471" s="5" t="n"/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</row>
    <row r="4472">
      <c r="A4472" s="5" t="n"/>
      <c r="B4472" s="5" t="n"/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</row>
    <row r="4473">
      <c r="A4473" s="5" t="n"/>
      <c r="B4473" s="5" t="n"/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</row>
    <row r="4474">
      <c r="A4474" s="5" t="n"/>
      <c r="B4474" s="5" t="n"/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</row>
    <row r="4477">
      <c r="A4477" s="5" t="n"/>
      <c r="B4477" s="5" t="n"/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</row>
    <row r="4478">
      <c r="A4478" s="5" t="n"/>
      <c r="B4478" s="5" t="n"/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</row>
    <row r="4479">
      <c r="A4479" s="5" t="n"/>
      <c r="B4479" s="5" t="n"/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</row>
    <row r="4480">
      <c r="A4480" s="5" t="n"/>
      <c r="B4480" s="5" t="n"/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</row>
    <row r="4481">
      <c r="A4481" s="5" t="n"/>
      <c r="B4481" s="5" t="n"/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</row>
    <row r="4482">
      <c r="A4482" s="5" t="n"/>
      <c r="B4482" s="5" t="n"/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</row>
    <row r="4483">
      <c r="A4483" s="5" t="n"/>
      <c r="B4483" s="5" t="n"/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</row>
    <row r="4484">
      <c r="A4484" s="5" t="n"/>
      <c r="B4484" s="5" t="n"/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</row>
    <row r="4485">
      <c r="A4485" s="5" t="n"/>
      <c r="B4485" s="5" t="n"/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</row>
    <row r="4486">
      <c r="A4486" s="5" t="n"/>
      <c r="B4486" s="5" t="n"/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</row>
    <row r="4487">
      <c r="A4487" s="5" t="n"/>
      <c r="B4487" s="5" t="n"/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</row>
    <row r="4488">
      <c r="A4488" s="5" t="n"/>
      <c r="B4488" s="5" t="n"/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</row>
    <row r="4489">
      <c r="A4489" s="5" t="n"/>
      <c r="B4489" s="5" t="n"/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</row>
    <row r="4492">
      <c r="A4492" s="5" t="n"/>
      <c r="B4492" s="5" t="n"/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</row>
    <row r="4493">
      <c r="A4493" s="5" t="n"/>
      <c r="B4493" s="5" t="n"/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</row>
    <row r="4494">
      <c r="A4494" s="5" t="n"/>
      <c r="B4494" s="5" t="n"/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</row>
    <row r="4495">
      <c r="A4495" s="5" t="n"/>
      <c r="B4495" s="5" t="n"/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</row>
    <row r="4496">
      <c r="A4496" s="5" t="n"/>
      <c r="B4496" s="5" t="n"/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</row>
    <row r="4497">
      <c r="A4497" s="5" t="n"/>
      <c r="B4497" s="5" t="n"/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</row>
    <row r="4498">
      <c r="A4498" s="5" t="n"/>
      <c r="B4498" s="5" t="n"/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</row>
    <row r="4499">
      <c r="A4499" s="5" t="n"/>
      <c r="B4499" s="5" t="n"/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</row>
    <row r="4500">
      <c r="A4500" s="5" t="n"/>
      <c r="B4500" s="5" t="n"/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</row>
    <row r="4501">
      <c r="A4501" s="5" t="n"/>
      <c r="B4501" s="5" t="n"/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</row>
    <row r="4502">
      <c r="A4502" s="5" t="n"/>
      <c r="B4502" s="5" t="n"/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</row>
    <row r="4503">
      <c r="A4503" s="5" t="n"/>
      <c r="B4503" s="5" t="n"/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</row>
    <row r="4504">
      <c r="A4504" s="5" t="n"/>
      <c r="B4504" s="5" t="n"/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</row>
    <row r="4507">
      <c r="A4507" s="5" t="n"/>
      <c r="B4507" s="5" t="n"/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</row>
    <row r="4508">
      <c r="A4508" s="5" t="n"/>
      <c r="B4508" s="5" t="n"/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</row>
    <row r="4509">
      <c r="A4509" s="5" t="n"/>
      <c r="B4509" s="5" t="n"/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</row>
    <row r="4510">
      <c r="A4510" s="5" t="n"/>
      <c r="B4510" s="5" t="n"/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</row>
    <row r="4511">
      <c r="A4511" s="5" t="n"/>
      <c r="B4511" s="5" t="n"/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</row>
    <row r="4512">
      <c r="A4512" s="5" t="n"/>
      <c r="B4512" s="5" t="n"/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</row>
    <row r="4513">
      <c r="A4513" s="5" t="n"/>
      <c r="B4513" s="5" t="n"/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</row>
    <row r="4514">
      <c r="A4514" s="5" t="n"/>
      <c r="B4514" s="5" t="n"/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</row>
    <row r="4515">
      <c r="A4515" s="5" t="n"/>
      <c r="B4515" s="5" t="n"/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</row>
    <row r="4516">
      <c r="A4516" s="5" t="n"/>
      <c r="B4516" s="5" t="n"/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</row>
    <row r="4517">
      <c r="A4517" s="5" t="n"/>
      <c r="B4517" s="5" t="n"/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</row>
    <row r="4518">
      <c r="A4518" s="5" t="n"/>
      <c r="B4518" s="5" t="n"/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</row>
    <row r="4519">
      <c r="A4519" s="5" t="n"/>
      <c r="B4519" s="5" t="n"/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</row>
    <row r="4522">
      <c r="A4522" s="5" t="n"/>
      <c r="B4522" s="5" t="n"/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</row>
    <row r="4523">
      <c r="A4523" s="5" t="n"/>
      <c r="B4523" s="5" t="n"/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</row>
    <row r="4524">
      <c r="A4524" s="5" t="n"/>
      <c r="B4524" s="5" t="n"/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</row>
    <row r="4525">
      <c r="A4525" s="5" t="n"/>
      <c r="B4525" s="5" t="n"/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</row>
    <row r="4526">
      <c r="A4526" s="5" t="n"/>
      <c r="B4526" s="5" t="n"/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</row>
    <row r="4527">
      <c r="A4527" s="5" t="n"/>
      <c r="B4527" s="5" t="n"/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</row>
    <row r="4528">
      <c r="A4528" s="5" t="n"/>
      <c r="B4528" s="5" t="n"/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</row>
    <row r="4529">
      <c r="A4529" s="5" t="n"/>
      <c r="B4529" s="5" t="n"/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</row>
    <row r="4530">
      <c r="A4530" s="5" t="n"/>
      <c r="B4530" s="5" t="n"/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</row>
    <row r="4531">
      <c r="A4531" s="5" t="n"/>
      <c r="B4531" s="5" t="n"/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</row>
    <row r="4532">
      <c r="A4532" s="5" t="n"/>
      <c r="B4532" s="5" t="n"/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</row>
    <row r="4533">
      <c r="A4533" s="5" t="n"/>
      <c r="B4533" s="5" t="n"/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</row>
    <row r="4534">
      <c r="A4534" s="5" t="n"/>
      <c r="B4534" s="5" t="n"/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</row>
    <row r="4537">
      <c r="A4537" s="5" t="n"/>
      <c r="B4537" s="5" t="n"/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</row>
    <row r="4538">
      <c r="A4538" s="5" t="n"/>
      <c r="B4538" s="5" t="n"/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</row>
    <row r="4539">
      <c r="A4539" s="5" t="n"/>
      <c r="B4539" s="5" t="n"/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</row>
    <row r="4540">
      <c r="A4540" s="5" t="n"/>
      <c r="B4540" s="5" t="n"/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</row>
    <row r="4541">
      <c r="A4541" s="5" t="n"/>
      <c r="B4541" s="5" t="n"/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</row>
    <row r="4542">
      <c r="A4542" s="5" t="n"/>
      <c r="B4542" s="5" t="n"/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</row>
    <row r="4543">
      <c r="A4543" s="5" t="n"/>
      <c r="B4543" s="5" t="n"/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</row>
    <row r="4544">
      <c r="A4544" s="5" t="n"/>
      <c r="B4544" s="5" t="n"/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</row>
    <row r="4545">
      <c r="A4545" s="5" t="n"/>
      <c r="B4545" s="5" t="n"/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</row>
    <row r="4546">
      <c r="A4546" s="5" t="n"/>
      <c r="B4546" s="5" t="n"/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</row>
    <row r="4547">
      <c r="A4547" s="5" t="n"/>
      <c r="B4547" s="5" t="n"/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</row>
    <row r="4548">
      <c r="A4548" s="5" t="n"/>
      <c r="B4548" s="5" t="n"/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</row>
    <row r="4549">
      <c r="A4549" s="5" t="n"/>
      <c r="B4549" s="5" t="n"/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</row>
    <row r="4552">
      <c r="A4552" s="5" t="n"/>
      <c r="B4552" s="5" t="n"/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</row>
    <row r="4553">
      <c r="A4553" s="5" t="n"/>
      <c r="B4553" s="5" t="n"/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</row>
    <row r="4554">
      <c r="A4554" s="5" t="n"/>
      <c r="B4554" s="5" t="n"/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</row>
    <row r="4555">
      <c r="A4555" s="5" t="n"/>
      <c r="B4555" s="5" t="n"/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</row>
    <row r="4556">
      <c r="A4556" s="5" t="n"/>
      <c r="B4556" s="5" t="n"/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</row>
    <row r="4557">
      <c r="A4557" s="5" t="n"/>
      <c r="B4557" s="5" t="n"/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</row>
    <row r="4558">
      <c r="A4558" s="5" t="n"/>
      <c r="B4558" s="5" t="n"/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</row>
    <row r="4559">
      <c r="A4559" s="5" t="n"/>
      <c r="B4559" s="5" t="n"/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</row>
    <row r="4560">
      <c r="A4560" s="5" t="n"/>
      <c r="B4560" s="5" t="n"/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</row>
    <row r="4561">
      <c r="A4561" s="5" t="n"/>
      <c r="B4561" s="5" t="n"/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</row>
    <row r="4562">
      <c r="A4562" s="5" t="n"/>
      <c r="B4562" s="5" t="n"/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</row>
    <row r="4563">
      <c r="A4563" s="5" t="n"/>
      <c r="B4563" s="5" t="n"/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</row>
    <row r="4564">
      <c r="A4564" s="5" t="n"/>
      <c r="B4564" s="5" t="n"/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</row>
    <row r="4567">
      <c r="A4567" s="5" t="n"/>
      <c r="B4567" s="5" t="n"/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</row>
    <row r="4568">
      <c r="A4568" s="5" t="n"/>
      <c r="B4568" s="5" t="n"/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</row>
    <row r="4569">
      <c r="A4569" s="5" t="n"/>
      <c r="B4569" s="5" t="n"/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</row>
    <row r="4570">
      <c r="A4570" s="5" t="n"/>
      <c r="B4570" s="5" t="n"/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</row>
    <row r="4571">
      <c r="A4571" s="5" t="n"/>
      <c r="B4571" s="5" t="n"/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</row>
    <row r="4572">
      <c r="A4572" s="5" t="n"/>
      <c r="B4572" s="5" t="n"/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</row>
    <row r="4573">
      <c r="A4573" s="5" t="n"/>
      <c r="B4573" s="5" t="n"/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</row>
    <row r="4574">
      <c r="A4574" s="5" t="n"/>
      <c r="B4574" s="5" t="n"/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</row>
    <row r="4575">
      <c r="A4575" s="5" t="n"/>
      <c r="B4575" s="5" t="n"/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</row>
    <row r="4576">
      <c r="A4576" s="5" t="n"/>
      <c r="B4576" s="5" t="n"/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</row>
    <row r="4577">
      <c r="A4577" s="5" t="n"/>
      <c r="B4577" s="5" t="n"/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</row>
    <row r="4578">
      <c r="A4578" s="5" t="n"/>
      <c r="B4578" s="5" t="n"/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</row>
    <row r="4579">
      <c r="A4579" s="5" t="n"/>
      <c r="B4579" s="5" t="n"/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</row>
    <row r="4582">
      <c r="A4582" s="5" t="n"/>
      <c r="B4582" s="5" t="n"/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</row>
    <row r="4583">
      <c r="A4583" s="5" t="n"/>
      <c r="B4583" s="5" t="n"/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</row>
    <row r="4584">
      <c r="A4584" s="5" t="n"/>
      <c r="B4584" s="5" t="n"/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</row>
    <row r="4585">
      <c r="A4585" s="5" t="n"/>
      <c r="B4585" s="5" t="n"/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</row>
    <row r="4586">
      <c r="A4586" s="5" t="n"/>
      <c r="B4586" s="5" t="n"/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</row>
    <row r="4587">
      <c r="A4587" s="5" t="n"/>
      <c r="B4587" s="5" t="n"/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</row>
    <row r="4588">
      <c r="A4588" s="5" t="n"/>
      <c r="B4588" s="5" t="n"/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</row>
    <row r="4589">
      <c r="A4589" s="5" t="n"/>
      <c r="B4589" s="5" t="n"/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</row>
    <row r="4590">
      <c r="A4590" s="5" t="n"/>
      <c r="B4590" s="5" t="n"/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</row>
    <row r="4591">
      <c r="A4591" s="5" t="n"/>
      <c r="B4591" s="5" t="n"/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</row>
    <row r="4592">
      <c r="A4592" s="5" t="n"/>
      <c r="B4592" s="5" t="n"/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</row>
    <row r="4593">
      <c r="A4593" s="5" t="n"/>
      <c r="B4593" s="5" t="n"/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</row>
    <row r="4594">
      <c r="A4594" s="5" t="n"/>
      <c r="B4594" s="5" t="n"/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</row>
    <row r="4597">
      <c r="A4597" s="5" t="n"/>
      <c r="B4597" s="5" t="n"/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</row>
    <row r="4598">
      <c r="A4598" s="5" t="n"/>
      <c r="B4598" s="5" t="n"/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</row>
    <row r="4599">
      <c r="A4599" s="5" t="n"/>
      <c r="B4599" s="5" t="n"/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</row>
    <row r="4600">
      <c r="A4600" s="5" t="n"/>
      <c r="B4600" s="5" t="n"/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</row>
    <row r="4601">
      <c r="A4601" s="5" t="n"/>
      <c r="B4601" s="5" t="n"/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</row>
    <row r="4602">
      <c r="A4602" s="5" t="n"/>
      <c r="B4602" s="5" t="n"/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</row>
    <row r="4603">
      <c r="A4603" s="5" t="n"/>
      <c r="B4603" s="5" t="n"/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</row>
    <row r="4604">
      <c r="A4604" s="5" t="n"/>
      <c r="B4604" s="5" t="n"/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</row>
    <row r="4605">
      <c r="A4605" s="5" t="n"/>
      <c r="B4605" s="5" t="n"/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</row>
    <row r="4606">
      <c r="A4606" s="5" t="n"/>
      <c r="B4606" s="5" t="n"/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</row>
    <row r="4607">
      <c r="A4607" s="5" t="n"/>
      <c r="B4607" s="5" t="n"/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</row>
    <row r="4608">
      <c r="A4608" s="5" t="n"/>
      <c r="B4608" s="5" t="n"/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</row>
    <row r="4609">
      <c r="A4609" s="5" t="n"/>
      <c r="B4609" s="5" t="n"/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</row>
    <row r="4612">
      <c r="A4612" s="5" t="n"/>
      <c r="B4612" s="5" t="n"/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</row>
    <row r="4613">
      <c r="A4613" s="5" t="n"/>
      <c r="B4613" s="5" t="n"/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</row>
    <row r="4614">
      <c r="A4614" s="5" t="n"/>
      <c r="B4614" s="5" t="n"/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</row>
    <row r="4615">
      <c r="A4615" s="5" t="n"/>
      <c r="B4615" s="5" t="n"/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</row>
    <row r="4616">
      <c r="A4616" s="5" t="n"/>
      <c r="B4616" s="5" t="n"/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</row>
    <row r="4617">
      <c r="A4617" s="5" t="n"/>
      <c r="B4617" s="5" t="n"/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</row>
    <row r="4618">
      <c r="A4618" s="5" t="n"/>
      <c r="B4618" s="5" t="n"/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</row>
    <row r="4619">
      <c r="A4619" s="5" t="n"/>
      <c r="B4619" s="5" t="n"/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</row>
    <row r="4620">
      <c r="A4620" s="5" t="n"/>
      <c r="B4620" s="5" t="n"/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</row>
    <row r="4621">
      <c r="A4621" s="5" t="n"/>
      <c r="B4621" s="5" t="n"/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</row>
    <row r="4622">
      <c r="A4622" s="5" t="n"/>
      <c r="B4622" s="5" t="n"/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</row>
    <row r="4623">
      <c r="A4623" s="5" t="n"/>
      <c r="B4623" s="5" t="n"/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</row>
    <row r="4624">
      <c r="A4624" s="5" t="n"/>
      <c r="B4624" s="5" t="n"/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</row>
    <row r="4627">
      <c r="A4627" s="5" t="n"/>
      <c r="B4627" s="5" t="n"/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</row>
    <row r="4628">
      <c r="A4628" s="5" t="n"/>
      <c r="B4628" s="5" t="n"/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</row>
    <row r="4629">
      <c r="A4629" s="5" t="n"/>
      <c r="B4629" s="5" t="n"/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</row>
    <row r="4630">
      <c r="A4630" s="5" t="n"/>
      <c r="B4630" s="5" t="n"/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</row>
    <row r="4631">
      <c r="A4631" s="5" t="n"/>
      <c r="B4631" s="5" t="n"/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</row>
    <row r="4632">
      <c r="A4632" s="5" t="n"/>
      <c r="B4632" s="5" t="n"/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</row>
    <row r="4633">
      <c r="A4633" s="5" t="n"/>
      <c r="B4633" s="5" t="n"/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</row>
    <row r="4634">
      <c r="A4634" s="5" t="n"/>
      <c r="B4634" s="5" t="n"/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</row>
    <row r="4635">
      <c r="A4635" s="5" t="n"/>
      <c r="B4635" s="5" t="n"/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</row>
    <row r="4636">
      <c r="A4636" s="5" t="n"/>
      <c r="B4636" s="5" t="n"/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</row>
    <row r="4637">
      <c r="A4637" s="5" t="n"/>
      <c r="B4637" s="5" t="n"/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</row>
    <row r="4638">
      <c r="A4638" s="5" t="n"/>
      <c r="B4638" s="5" t="n"/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</row>
    <row r="4639">
      <c r="A4639" s="5" t="n"/>
      <c r="B4639" s="5" t="n"/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</row>
    <row r="4642">
      <c r="A4642" s="5" t="n"/>
      <c r="B4642" s="5" t="n"/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</row>
    <row r="4643">
      <c r="A4643" s="5" t="n"/>
      <c r="B4643" s="5" t="n"/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</row>
    <row r="4644">
      <c r="A4644" s="5" t="n"/>
      <c r="B4644" s="5" t="n"/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</row>
    <row r="4645">
      <c r="A4645" s="5" t="n"/>
      <c r="B4645" s="5" t="n"/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</row>
    <row r="4646">
      <c r="A4646" s="5" t="n"/>
      <c r="B4646" s="5" t="n"/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</row>
    <row r="4647">
      <c r="A4647" s="5" t="n"/>
      <c r="B4647" s="5" t="n"/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</row>
    <row r="4648">
      <c r="A4648" s="5" t="n"/>
      <c r="B4648" s="5" t="n"/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</row>
    <row r="4649">
      <c r="A4649" s="5" t="n"/>
      <c r="B4649" s="5" t="n"/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</row>
    <row r="4650">
      <c r="A4650" s="5" t="n"/>
      <c r="B4650" s="5" t="n"/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</row>
    <row r="4651">
      <c r="A4651" s="5" t="n"/>
      <c r="B4651" s="5" t="n"/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</row>
    <row r="4652">
      <c r="A4652" s="5" t="n"/>
      <c r="B4652" s="5" t="n"/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</row>
    <row r="4653">
      <c r="A4653" s="5" t="n"/>
      <c r="B4653" s="5" t="n"/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</row>
    <row r="4654">
      <c r="A4654" s="5" t="n"/>
      <c r="B4654" s="5" t="n"/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</row>
    <row r="4657">
      <c r="A4657" s="5" t="n"/>
      <c r="B4657" s="5" t="n"/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</row>
    <row r="4658">
      <c r="A4658" s="5" t="n"/>
      <c r="B4658" s="5" t="n"/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</row>
    <row r="4659">
      <c r="A4659" s="5" t="n"/>
      <c r="B4659" s="5" t="n"/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</row>
    <row r="4660">
      <c r="A4660" s="5" t="n"/>
      <c r="B4660" s="5" t="n"/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</row>
    <row r="4661">
      <c r="A4661" s="5" t="n"/>
      <c r="B4661" s="5" t="n"/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</row>
    <row r="4662">
      <c r="A4662" s="5" t="n"/>
      <c r="B4662" s="5" t="n"/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</row>
    <row r="4663">
      <c r="A4663" s="5" t="n"/>
      <c r="B4663" s="5" t="n"/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</row>
    <row r="4664">
      <c r="A4664" s="5" t="n"/>
      <c r="B4664" s="5" t="n"/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</row>
    <row r="4665">
      <c r="A4665" s="5" t="n"/>
      <c r="B4665" s="5" t="n"/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</row>
    <row r="4666">
      <c r="A4666" s="5" t="n"/>
      <c r="B4666" s="5" t="n"/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</row>
    <row r="4667">
      <c r="A4667" s="5" t="n"/>
      <c r="B4667" s="5" t="n"/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</row>
    <row r="4668">
      <c r="A4668" s="5" t="n"/>
      <c r="B4668" s="5" t="n"/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</row>
    <row r="4669">
      <c r="A4669" s="5" t="n"/>
      <c r="B4669" s="5" t="n"/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</row>
    <row r="4672">
      <c r="A4672" s="5" t="n"/>
      <c r="B4672" s="5" t="n"/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</row>
    <row r="4673">
      <c r="A4673" s="5" t="n"/>
      <c r="B4673" s="5" t="n"/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</row>
    <row r="4674">
      <c r="A4674" s="5" t="n"/>
      <c r="B4674" s="5" t="n"/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</row>
    <row r="4675">
      <c r="A4675" s="5" t="n"/>
      <c r="B4675" s="5" t="n"/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</row>
    <row r="4676">
      <c r="A4676" s="5" t="n"/>
      <c r="B4676" s="5" t="n"/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</row>
    <row r="4677">
      <c r="A4677" s="5" t="n"/>
      <c r="B4677" s="5" t="n"/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</row>
    <row r="4678">
      <c r="A4678" s="5" t="n"/>
      <c r="B4678" s="5" t="n"/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</row>
    <row r="4679">
      <c r="A4679" s="5" t="n"/>
      <c r="B4679" s="5" t="n"/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</row>
    <row r="4680">
      <c r="A4680" s="5" t="n"/>
      <c r="B4680" s="5" t="n"/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</row>
    <row r="4681">
      <c r="A4681" s="5" t="n"/>
      <c r="B4681" s="5" t="n"/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</row>
    <row r="4682">
      <c r="A4682" s="5" t="n"/>
      <c r="B4682" s="5" t="n"/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</row>
    <row r="4683">
      <c r="A4683" s="5" t="n"/>
      <c r="B4683" s="5" t="n"/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</row>
    <row r="4684">
      <c r="A4684" s="5" t="n"/>
      <c r="B4684" s="5" t="n"/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</row>
    <row r="4687">
      <c r="A4687" s="5" t="n"/>
      <c r="B4687" s="5" t="n"/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</row>
    <row r="4688">
      <c r="A4688" s="5" t="n"/>
      <c r="B4688" s="5" t="n"/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</row>
    <row r="4689">
      <c r="A4689" s="5" t="n"/>
      <c r="B4689" s="5" t="n"/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</row>
    <row r="4690">
      <c r="A4690" s="5" t="n"/>
      <c r="B4690" s="5" t="n"/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</row>
    <row r="4691">
      <c r="A4691" s="5" t="n"/>
      <c r="B4691" s="5" t="n"/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</row>
    <row r="4692">
      <c r="A4692" s="5" t="n"/>
      <c r="B4692" s="5" t="n"/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</row>
    <row r="4693">
      <c r="A4693" s="5" t="n"/>
      <c r="B4693" s="5" t="n"/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</row>
    <row r="4694">
      <c r="A4694" s="5" t="n"/>
      <c r="B4694" s="5" t="n"/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</row>
    <row r="4695">
      <c r="A4695" s="5" t="n"/>
      <c r="B4695" s="5" t="n"/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</row>
    <row r="4696">
      <c r="A4696" s="5" t="n"/>
      <c r="B4696" s="5" t="n"/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</row>
    <row r="4697">
      <c r="A4697" s="5" t="n"/>
      <c r="B4697" s="5" t="n"/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</row>
    <row r="4698">
      <c r="A4698" s="5" t="n"/>
      <c r="B4698" s="5" t="n"/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</row>
    <row r="4699">
      <c r="A4699" s="5" t="n"/>
      <c r="B4699" s="5" t="n"/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</row>
    <row r="4702">
      <c r="A4702" s="5" t="n"/>
      <c r="B4702" s="5" t="n"/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</row>
    <row r="4703">
      <c r="A4703" s="5" t="n"/>
      <c r="B4703" s="5" t="n"/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</row>
    <row r="4704">
      <c r="A4704" s="5" t="n"/>
      <c r="B4704" s="5" t="n"/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</row>
    <row r="4705">
      <c r="A4705" s="5" t="n"/>
      <c r="B4705" s="5" t="n"/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</row>
    <row r="4706">
      <c r="A4706" s="5" t="n"/>
      <c r="B4706" s="5" t="n"/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</row>
    <row r="4707">
      <c r="A4707" s="5" t="n"/>
      <c r="B4707" s="5" t="n"/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</row>
    <row r="4708">
      <c r="A4708" s="5" t="n"/>
      <c r="B4708" s="5" t="n"/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</row>
    <row r="4709">
      <c r="A4709" s="5" t="n"/>
      <c r="B4709" s="5" t="n"/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</row>
    <row r="4710">
      <c r="A4710" s="5" t="n"/>
      <c r="B4710" s="5" t="n"/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</row>
    <row r="4711">
      <c r="A4711" s="5" t="n"/>
      <c r="B4711" s="5" t="n"/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</row>
    <row r="4712">
      <c r="A4712" s="5" t="n"/>
      <c r="B4712" s="5" t="n"/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</row>
    <row r="4713">
      <c r="A4713" s="5" t="n"/>
      <c r="B4713" s="5" t="n"/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</row>
    <row r="4714">
      <c r="A4714" s="5" t="n"/>
      <c r="B4714" s="5" t="n"/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</row>
    <row r="4717">
      <c r="A4717" s="5" t="n"/>
      <c r="B4717" s="5" t="n"/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</row>
    <row r="4718">
      <c r="A4718" s="5" t="n"/>
      <c r="B4718" s="5" t="n"/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</row>
    <row r="4719">
      <c r="A4719" s="5" t="n"/>
      <c r="B4719" s="5" t="n"/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</row>
    <row r="4720">
      <c r="A4720" s="5" t="n"/>
      <c r="B4720" s="5" t="n"/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</row>
    <row r="4721">
      <c r="A4721" s="5" t="n"/>
      <c r="B4721" s="5" t="n"/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</row>
    <row r="4722">
      <c r="A4722" s="5" t="n"/>
      <c r="B4722" s="5" t="n"/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</row>
    <row r="4723">
      <c r="A4723" s="5" t="n"/>
      <c r="B4723" s="5" t="n"/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</row>
    <row r="4724">
      <c r="A4724" s="5" t="n"/>
      <c r="B4724" s="5" t="n"/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</row>
    <row r="4725">
      <c r="A4725" s="5" t="n"/>
      <c r="B4725" s="5" t="n"/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</row>
    <row r="4726">
      <c r="A4726" s="5" t="n"/>
      <c r="B4726" s="5" t="n"/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</row>
    <row r="4727">
      <c r="A4727" s="5" t="n"/>
      <c r="B4727" s="5" t="n"/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</row>
    <row r="4728">
      <c r="A4728" s="5" t="n"/>
      <c r="B4728" s="5" t="n"/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</row>
    <row r="4729">
      <c r="A4729" s="5" t="n"/>
      <c r="B4729" s="5" t="n"/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</row>
    <row r="4732">
      <c r="A4732" s="5" t="n"/>
      <c r="B4732" s="5" t="n"/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</row>
    <row r="4733">
      <c r="A4733" s="5" t="n"/>
      <c r="B4733" s="5" t="n"/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</row>
    <row r="4734">
      <c r="A4734" s="5" t="n"/>
      <c r="B4734" s="5" t="n"/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</row>
    <row r="4735">
      <c r="A4735" s="5" t="n"/>
      <c r="B4735" s="5" t="n"/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</row>
    <row r="4736">
      <c r="A4736" s="5" t="n"/>
      <c r="B4736" s="5" t="n"/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</row>
    <row r="4737">
      <c r="A4737" s="5" t="n"/>
      <c r="B4737" s="5" t="n"/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</row>
    <row r="4738">
      <c r="A4738" s="5" t="n"/>
      <c r="B4738" s="5" t="n"/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</row>
    <row r="4739">
      <c r="A4739" s="5" t="n"/>
      <c r="B4739" s="5" t="n"/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</row>
    <row r="4740">
      <c r="A4740" s="5" t="n"/>
      <c r="B4740" s="5" t="n"/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</row>
    <row r="4741">
      <c r="A4741" s="5" t="n"/>
      <c r="B4741" s="5" t="n"/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</row>
    <row r="4742">
      <c r="A4742" s="5" t="n"/>
      <c r="B4742" s="5" t="n"/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</row>
    <row r="4743">
      <c r="A4743" s="5" t="n"/>
      <c r="B4743" s="5" t="n"/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</row>
    <row r="4744">
      <c r="A4744" s="5" t="n"/>
      <c r="B4744" s="5" t="n"/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</row>
    <row r="4747">
      <c r="A4747" s="5" t="n"/>
      <c r="B4747" s="5" t="n"/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</row>
    <row r="4748">
      <c r="A4748" s="5" t="n"/>
      <c r="B4748" s="5" t="n"/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</row>
    <row r="4749">
      <c r="A4749" s="5" t="n"/>
      <c r="B4749" s="5" t="n"/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</row>
    <row r="4750">
      <c r="A4750" s="5" t="n"/>
      <c r="B4750" s="5" t="n"/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</row>
    <row r="4751">
      <c r="A4751" s="5" t="n"/>
      <c r="B4751" s="5" t="n"/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</row>
    <row r="4752">
      <c r="A4752" s="5" t="n"/>
      <c r="B4752" s="5" t="n"/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</row>
    <row r="4753">
      <c r="A4753" s="5" t="n"/>
      <c r="B4753" s="5" t="n"/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</row>
    <row r="4754">
      <c r="A4754" s="5" t="n"/>
      <c r="B4754" s="5" t="n"/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</row>
    <row r="4755">
      <c r="A4755" s="5" t="n"/>
      <c r="B4755" s="5" t="n"/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</row>
    <row r="4756">
      <c r="A4756" s="5" t="n"/>
      <c r="B4756" s="5" t="n"/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</row>
    <row r="4757">
      <c r="A4757" s="5" t="n"/>
      <c r="B4757" s="5" t="n"/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</row>
    <row r="4758">
      <c r="A4758" s="5" t="n"/>
      <c r="B4758" s="5" t="n"/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</row>
    <row r="4759">
      <c r="A4759" s="5" t="n"/>
      <c r="B4759" s="5" t="n"/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</row>
    <row r="4762">
      <c r="A4762" s="5" t="n"/>
      <c r="B4762" s="5" t="n"/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</row>
    <row r="4763">
      <c r="A4763" s="5" t="n"/>
      <c r="B4763" s="5" t="n"/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</row>
    <row r="4764">
      <c r="A4764" s="5" t="n"/>
      <c r="B4764" s="5" t="n"/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</row>
    <row r="4765">
      <c r="A4765" s="5" t="n"/>
      <c r="B4765" s="5" t="n"/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</row>
    <row r="4766">
      <c r="A4766" s="5" t="n"/>
      <c r="B4766" s="5" t="n"/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</row>
    <row r="4767">
      <c r="A4767" s="5" t="n"/>
      <c r="B4767" s="5" t="n"/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</row>
    <row r="4768">
      <c r="A4768" s="5" t="n"/>
      <c r="B4768" s="5" t="n"/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</row>
    <row r="4769">
      <c r="A4769" s="5" t="n"/>
      <c r="B4769" s="5" t="n"/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</row>
    <row r="4770">
      <c r="A4770" s="5" t="n"/>
      <c r="B4770" s="5" t="n"/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</row>
    <row r="4771">
      <c r="A4771" s="5" t="n"/>
      <c r="B4771" s="5" t="n"/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</row>
    <row r="4772">
      <c r="A4772" s="5" t="n"/>
      <c r="B4772" s="5" t="n"/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</row>
    <row r="4773">
      <c r="A4773" s="5" t="n"/>
      <c r="B4773" s="5" t="n"/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</row>
    <row r="4774">
      <c r="A4774" s="5" t="n"/>
      <c r="B4774" s="5" t="n"/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</row>
    <row r="4777">
      <c r="A4777" s="5" t="n"/>
      <c r="B4777" s="5" t="n"/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</row>
    <row r="4778">
      <c r="A4778" s="5" t="n"/>
      <c r="B4778" s="5" t="n"/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</row>
    <row r="4779">
      <c r="A4779" s="5" t="n"/>
      <c r="B4779" s="5" t="n"/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</row>
    <row r="4780">
      <c r="A4780" s="5" t="n"/>
      <c r="B4780" s="5" t="n"/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</row>
    <row r="4781">
      <c r="A4781" s="5" t="n"/>
      <c r="B4781" s="5" t="n"/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</row>
    <row r="4782">
      <c r="A4782" s="5" t="n"/>
      <c r="B4782" s="5" t="n"/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</row>
    <row r="4783">
      <c r="A4783" s="5" t="n"/>
      <c r="B4783" s="5" t="n"/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</row>
    <row r="4784">
      <c r="A4784" s="5" t="n"/>
      <c r="B4784" s="5" t="n"/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</row>
    <row r="4785">
      <c r="A4785" s="5" t="n"/>
      <c r="B4785" s="5" t="n"/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</row>
    <row r="4786">
      <c r="A4786" s="5" t="n"/>
      <c r="B4786" s="5" t="n"/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</row>
    <row r="4787">
      <c r="A4787" s="5" t="n"/>
      <c r="B4787" s="5" t="n"/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</row>
    <row r="4788">
      <c r="A4788" s="5" t="n"/>
      <c r="B4788" s="5" t="n"/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</row>
    <row r="4789">
      <c r="A4789" s="5" t="n"/>
      <c r="B4789" s="5" t="n"/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</row>
    <row r="4792">
      <c r="A4792" s="5" t="n"/>
      <c r="B4792" s="5" t="n"/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</row>
    <row r="4793">
      <c r="A4793" s="5" t="n"/>
      <c r="B4793" s="5" t="n"/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</row>
    <row r="4794">
      <c r="A4794" s="5" t="n"/>
      <c r="B4794" s="5" t="n"/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</row>
    <row r="4795">
      <c r="A4795" s="5" t="n"/>
      <c r="B4795" s="5" t="n"/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</row>
    <row r="4796">
      <c r="A4796" s="5" t="n"/>
      <c r="B4796" s="5" t="n"/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</row>
    <row r="4797">
      <c r="A4797" s="5" t="n"/>
      <c r="B4797" s="5" t="n"/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</row>
    <row r="4798">
      <c r="A4798" s="5" t="n"/>
      <c r="B4798" s="5" t="n"/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</row>
    <row r="4799">
      <c r="A4799" s="5" t="n"/>
      <c r="B4799" s="5" t="n"/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</row>
    <row r="4800">
      <c r="A4800" s="5" t="n"/>
      <c r="B4800" s="5" t="n"/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</row>
    <row r="4801">
      <c r="A4801" s="5" t="n"/>
      <c r="B4801" s="5" t="n"/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</row>
    <row r="4802">
      <c r="A4802" s="5" t="n"/>
      <c r="B4802" s="5" t="n"/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</row>
    <row r="4803">
      <c r="A4803" s="5" t="n"/>
      <c r="B4803" s="5" t="n"/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</row>
    <row r="4804">
      <c r="A4804" s="5" t="n"/>
      <c r="B4804" s="5" t="n"/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</row>
    <row r="4807">
      <c r="A4807" s="5" t="n"/>
      <c r="B4807" s="5" t="n"/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</row>
    <row r="4808">
      <c r="A4808" s="5" t="n"/>
      <c r="B4808" s="5" t="n"/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</row>
    <row r="4809">
      <c r="A4809" s="5" t="n"/>
      <c r="B4809" s="5" t="n"/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</row>
    <row r="4810">
      <c r="A4810" s="5" t="n"/>
      <c r="B4810" s="5" t="n"/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</row>
    <row r="4811">
      <c r="A4811" s="5" t="n"/>
      <c r="B4811" s="5" t="n"/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</row>
    <row r="4812">
      <c r="A4812" s="5" t="n"/>
      <c r="B4812" s="5" t="n"/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</row>
    <row r="4813">
      <c r="A4813" s="5" t="n"/>
      <c r="B4813" s="5" t="n"/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</row>
    <row r="4814">
      <c r="A4814" s="5" t="n"/>
      <c r="B4814" s="5" t="n"/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</row>
    <row r="4815">
      <c r="A4815" s="5" t="n"/>
      <c r="B4815" s="5" t="n"/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</row>
    <row r="4816">
      <c r="A4816" s="5" t="n"/>
      <c r="B4816" s="5" t="n"/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</row>
    <row r="4817">
      <c r="A4817" s="5" t="n"/>
      <c r="B4817" s="5" t="n"/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</row>
    <row r="4818">
      <c r="A4818" s="5" t="n"/>
      <c r="B4818" s="5" t="n"/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</row>
    <row r="4819">
      <c r="A4819" s="5" t="n"/>
      <c r="B4819" s="5" t="n"/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</row>
    <row r="4822">
      <c r="A4822" s="5" t="n"/>
      <c r="B4822" s="5" t="n"/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</row>
    <row r="4823">
      <c r="A4823" s="5" t="n"/>
      <c r="B4823" s="5" t="n"/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</row>
    <row r="4824">
      <c r="A4824" s="5" t="n"/>
      <c r="B4824" s="5" t="n"/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</row>
    <row r="4825">
      <c r="A4825" s="5" t="n"/>
      <c r="B4825" s="5" t="n"/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</row>
    <row r="4826">
      <c r="A4826" s="5" t="n"/>
      <c r="B4826" s="5" t="n"/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</row>
    <row r="4827">
      <c r="A4827" s="5" t="n"/>
      <c r="B4827" s="5" t="n"/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</row>
    <row r="4828">
      <c r="A4828" s="5" t="n"/>
      <c r="B4828" s="5" t="n"/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</row>
    <row r="4829">
      <c r="A4829" s="5" t="n"/>
      <c r="B4829" s="5" t="n"/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</row>
    <row r="4830">
      <c r="A4830" s="5" t="n"/>
      <c r="B4830" s="5" t="n"/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</row>
    <row r="4831">
      <c r="A4831" s="5" t="n"/>
      <c r="B4831" s="5" t="n"/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</row>
    <row r="4832">
      <c r="A4832" s="5" t="n"/>
      <c r="B4832" s="5" t="n"/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</row>
    <row r="4833">
      <c r="A4833" s="5" t="n"/>
      <c r="B4833" s="5" t="n"/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</row>
    <row r="4834">
      <c r="A4834" s="5" t="n"/>
      <c r="B4834" s="5" t="n"/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</row>
    <row r="4837">
      <c r="A4837" s="5" t="n"/>
      <c r="B4837" s="5" t="n"/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</row>
    <row r="4838">
      <c r="A4838" s="5" t="n"/>
      <c r="B4838" s="5" t="n"/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</row>
    <row r="4839">
      <c r="A4839" s="5" t="n"/>
      <c r="B4839" s="5" t="n"/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</row>
    <row r="4840">
      <c r="A4840" s="5" t="n"/>
      <c r="B4840" s="5" t="n"/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</row>
    <row r="4841">
      <c r="A4841" s="5" t="n"/>
      <c r="B4841" s="5" t="n"/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</row>
    <row r="4842">
      <c r="A4842" s="5" t="n"/>
      <c r="B4842" s="5" t="n"/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</row>
    <row r="4843">
      <c r="A4843" s="5" t="n"/>
      <c r="B4843" s="5" t="n"/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</row>
    <row r="4844">
      <c r="A4844" s="5" t="n"/>
      <c r="B4844" s="5" t="n"/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</row>
    <row r="4845">
      <c r="A4845" s="5" t="n"/>
      <c r="B4845" s="5" t="n"/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</row>
    <row r="4846">
      <c r="A4846" s="5" t="n"/>
      <c r="B4846" s="5" t="n"/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</row>
    <row r="4847">
      <c r="A4847" s="5" t="n"/>
      <c r="B4847" s="5" t="n"/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</row>
    <row r="4848">
      <c r="A4848" s="5" t="n"/>
      <c r="B4848" s="5" t="n"/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</row>
    <row r="4849">
      <c r="A4849" s="5" t="n"/>
      <c r="B4849" s="5" t="n"/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</row>
    <row r="4852">
      <c r="A4852" s="5" t="n"/>
      <c r="B4852" s="5" t="n"/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</row>
    <row r="4853">
      <c r="A4853" s="5" t="n"/>
      <c r="B4853" s="5" t="n"/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</row>
    <row r="4854">
      <c r="A4854" s="5" t="n"/>
      <c r="B4854" s="5" t="n"/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</row>
    <row r="4855">
      <c r="A4855" s="5" t="n"/>
      <c r="B4855" s="5" t="n"/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</row>
    <row r="4856">
      <c r="A4856" s="5" t="n"/>
      <c r="B4856" s="5" t="n"/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</row>
    <row r="4857">
      <c r="A4857" s="5" t="n"/>
      <c r="B4857" s="5" t="n"/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</row>
    <row r="4858">
      <c r="A4858" s="5" t="n"/>
      <c r="B4858" s="5" t="n"/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</row>
    <row r="4859">
      <c r="A4859" s="5" t="n"/>
      <c r="B4859" s="5" t="n"/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</row>
    <row r="4860">
      <c r="A4860" s="5" t="n"/>
      <c r="B4860" s="5" t="n"/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</row>
    <row r="4861">
      <c r="A4861" s="5" t="n"/>
      <c r="B4861" s="5" t="n"/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</row>
    <row r="4862">
      <c r="A4862" s="5" t="n"/>
      <c r="B4862" s="5" t="n"/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</row>
    <row r="4863">
      <c r="A4863" s="5" t="n"/>
      <c r="B4863" s="5" t="n"/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</row>
    <row r="4864">
      <c r="A4864" s="5" t="n"/>
      <c r="B4864" s="5" t="n"/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</row>
    <row r="4867">
      <c r="A4867" s="5" t="n"/>
      <c r="B4867" s="5" t="n"/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</row>
    <row r="4868">
      <c r="A4868" s="5" t="n"/>
      <c r="B4868" s="5" t="n"/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</row>
    <row r="4869">
      <c r="A4869" s="5" t="n"/>
      <c r="B4869" s="5" t="n"/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</row>
    <row r="4870">
      <c r="A4870" s="5" t="n"/>
      <c r="B4870" s="5" t="n"/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</row>
    <row r="4871">
      <c r="A4871" s="5" t="n"/>
      <c r="B4871" s="5" t="n"/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</row>
    <row r="4872">
      <c r="A4872" s="5" t="n"/>
      <c r="B4872" s="5" t="n"/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</row>
    <row r="4873">
      <c r="A4873" s="5" t="n"/>
      <c r="B4873" s="5" t="n"/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</row>
    <row r="4874">
      <c r="A4874" s="5" t="n"/>
      <c r="B4874" s="5" t="n"/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</row>
    <row r="4875">
      <c r="A4875" s="5" t="n"/>
      <c r="B4875" s="5" t="n"/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</row>
    <row r="4876">
      <c r="A4876" s="5" t="n"/>
      <c r="B4876" s="5" t="n"/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</row>
    <row r="4877">
      <c r="A4877" s="5" t="n"/>
      <c r="B4877" s="5" t="n"/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</row>
    <row r="4878">
      <c r="A4878" s="5" t="n"/>
      <c r="B4878" s="5" t="n"/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</row>
    <row r="4879">
      <c r="A4879" s="5" t="n"/>
      <c r="B4879" s="5" t="n"/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</row>
    <row r="4882">
      <c r="A4882" s="5" t="n"/>
      <c r="B4882" s="5" t="n"/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</row>
    <row r="4883">
      <c r="A4883" s="5" t="n"/>
      <c r="B4883" s="5" t="n"/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</row>
    <row r="4884">
      <c r="A4884" s="5" t="n"/>
      <c r="B4884" s="5" t="n"/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</row>
    <row r="4885">
      <c r="A4885" s="5" t="n"/>
      <c r="B4885" s="5" t="n"/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</row>
    <row r="4886">
      <c r="A4886" s="5" t="n"/>
      <c r="B4886" s="5" t="n"/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</row>
    <row r="4887">
      <c r="A4887" s="5" t="n"/>
      <c r="B4887" s="5" t="n"/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</row>
    <row r="4888">
      <c r="A4888" s="5" t="n"/>
      <c r="B4888" s="5" t="n"/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</row>
    <row r="4889">
      <c r="A4889" s="5" t="n"/>
      <c r="B4889" s="5" t="n"/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</row>
    <row r="4890">
      <c r="A4890" s="5" t="n"/>
      <c r="B4890" s="5" t="n"/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</row>
    <row r="4891">
      <c r="A4891" s="5" t="n"/>
      <c r="B4891" s="5" t="n"/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</row>
    <row r="4892">
      <c r="A4892" s="5" t="n"/>
      <c r="B4892" s="5" t="n"/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</row>
    <row r="4893">
      <c r="A4893" s="5" t="n"/>
      <c r="B4893" s="5" t="n"/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</row>
    <row r="4894">
      <c r="A4894" s="5" t="n"/>
      <c r="B4894" s="5" t="n"/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</row>
    <row r="4897">
      <c r="A4897" s="5" t="n"/>
      <c r="B4897" s="5" t="n"/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</row>
    <row r="4898">
      <c r="A4898" s="5" t="n"/>
      <c r="B4898" s="5" t="n"/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</row>
    <row r="4899">
      <c r="A4899" s="5" t="n"/>
      <c r="B4899" s="5" t="n"/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</row>
    <row r="4900">
      <c r="A4900" s="5" t="n"/>
      <c r="B4900" s="5" t="n"/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</row>
    <row r="4901">
      <c r="A4901" s="5" t="n"/>
      <c r="B4901" s="5" t="n"/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</row>
    <row r="4902">
      <c r="A4902" s="5" t="n"/>
      <c r="B4902" s="5" t="n"/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</row>
    <row r="4903">
      <c r="A4903" s="5" t="n"/>
      <c r="B4903" s="5" t="n"/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</row>
    <row r="4904">
      <c r="A4904" s="5" t="n"/>
      <c r="B4904" s="5" t="n"/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</row>
    <row r="4905">
      <c r="A4905" s="5" t="n"/>
      <c r="B4905" s="5" t="n"/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</row>
    <row r="4906">
      <c r="A4906" s="5" t="n"/>
      <c r="B4906" s="5" t="n"/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</row>
    <row r="4907">
      <c r="A4907" s="5" t="n"/>
      <c r="B4907" s="5" t="n"/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</row>
    <row r="4908">
      <c r="A4908" s="5" t="n"/>
      <c r="B4908" s="5" t="n"/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</row>
    <row r="4909">
      <c r="A4909" s="5" t="n"/>
      <c r="B4909" s="5" t="n"/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</row>
    <row r="4912">
      <c r="A4912" s="5" t="n"/>
      <c r="B4912" s="5" t="n"/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</row>
    <row r="4913">
      <c r="A4913" s="5" t="n"/>
      <c r="B4913" s="5" t="n"/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</row>
    <row r="4914">
      <c r="A4914" s="5" t="n"/>
      <c r="B4914" s="5" t="n"/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</row>
    <row r="4915">
      <c r="A4915" s="5" t="n"/>
      <c r="B4915" s="5" t="n"/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</row>
    <row r="4916">
      <c r="A4916" s="5" t="n"/>
      <c r="B4916" s="5" t="n"/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</row>
    <row r="4917">
      <c r="A4917" s="5" t="n"/>
      <c r="B4917" s="5" t="n"/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</row>
    <row r="4918">
      <c r="A4918" s="5" t="n"/>
      <c r="B4918" s="5" t="n"/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</row>
    <row r="4919">
      <c r="A4919" s="5" t="n"/>
      <c r="B4919" s="5" t="n"/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</row>
    <row r="4920">
      <c r="A4920" s="5" t="n"/>
      <c r="B4920" s="5" t="n"/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</row>
    <row r="4921">
      <c r="A4921" s="5" t="n"/>
      <c r="B4921" s="5" t="n"/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</row>
    <row r="4922">
      <c r="A4922" s="5" t="n"/>
      <c r="B4922" s="5" t="n"/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</row>
    <row r="4923">
      <c r="A4923" s="5" t="n"/>
      <c r="B4923" s="5" t="n"/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</row>
    <row r="4924">
      <c r="A4924" s="5" t="n"/>
      <c r="B4924" s="5" t="n"/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</row>
    <row r="4927">
      <c r="A4927" s="5" t="n"/>
      <c r="B4927" s="5" t="n"/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</row>
    <row r="4928">
      <c r="A4928" s="5" t="n"/>
      <c r="B4928" s="5" t="n"/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</row>
    <row r="4929">
      <c r="A4929" s="5" t="n"/>
      <c r="B4929" s="5" t="n"/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</row>
    <row r="4930">
      <c r="A4930" s="5" t="n"/>
      <c r="B4930" s="5" t="n"/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</row>
    <row r="4931">
      <c r="A4931" s="5" t="n"/>
      <c r="B4931" s="5" t="n"/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</row>
    <row r="4932">
      <c r="A4932" s="5" t="n"/>
      <c r="B4932" s="5" t="n"/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</row>
    <row r="4933">
      <c r="A4933" s="5" t="n"/>
      <c r="B4933" s="5" t="n"/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</row>
    <row r="4934">
      <c r="A4934" s="5" t="n"/>
      <c r="B4934" s="5" t="n"/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</row>
    <row r="4935">
      <c r="A4935" s="5" t="n"/>
      <c r="B4935" s="5" t="n"/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</row>
    <row r="4936">
      <c r="A4936" s="5" t="n"/>
      <c r="B4936" s="5" t="n"/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</row>
    <row r="4937">
      <c r="A4937" s="5" t="n"/>
      <c r="B4937" s="5" t="n"/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</row>
    <row r="4938">
      <c r="A4938" s="5" t="n"/>
      <c r="B4938" s="5" t="n"/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</row>
    <row r="4939">
      <c r="A4939" s="5" t="n"/>
      <c r="B4939" s="5" t="n"/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</row>
    <row r="4942">
      <c r="A4942" s="5" t="n"/>
      <c r="B4942" s="5" t="n"/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</row>
    <row r="4943">
      <c r="A4943" s="5" t="n"/>
      <c r="B4943" s="5" t="n"/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</row>
    <row r="4944">
      <c r="A4944" s="5" t="n"/>
      <c r="B4944" s="5" t="n"/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</row>
    <row r="4945">
      <c r="A4945" s="5" t="n"/>
      <c r="B4945" s="5" t="n"/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</row>
    <row r="4946">
      <c r="A4946" s="5" t="n"/>
      <c r="B4946" s="5" t="n"/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</row>
    <row r="4947">
      <c r="A4947" s="5" t="n"/>
      <c r="B4947" s="5" t="n"/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</row>
    <row r="4948">
      <c r="A4948" s="5" t="n"/>
      <c r="B4948" s="5" t="n"/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</row>
    <row r="4949">
      <c r="A4949" s="5" t="n"/>
      <c r="B4949" s="5" t="n"/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</row>
    <row r="4950">
      <c r="A4950" s="5" t="n"/>
      <c r="B4950" s="5" t="n"/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</row>
    <row r="4951">
      <c r="A4951" s="5" t="n"/>
      <c r="B4951" s="5" t="n"/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</row>
    <row r="4952">
      <c r="A4952" s="5" t="n"/>
      <c r="B4952" s="5" t="n"/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</row>
    <row r="4953">
      <c r="A4953" s="5" t="n"/>
      <c r="B4953" s="5" t="n"/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</row>
    <row r="4954">
      <c r="A4954" s="5" t="n"/>
      <c r="B4954" s="5" t="n"/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</row>
    <row r="4957">
      <c r="A4957" s="5" t="n"/>
      <c r="B4957" s="5" t="n"/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</row>
    <row r="4958">
      <c r="A4958" s="5" t="n"/>
      <c r="B4958" s="5" t="n"/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</row>
    <row r="4959">
      <c r="A4959" s="5" t="n"/>
      <c r="B4959" s="5" t="n"/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</row>
    <row r="4960">
      <c r="A4960" s="5" t="n"/>
      <c r="B4960" s="5" t="n"/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</row>
    <row r="4961">
      <c r="A4961" s="5" t="n"/>
      <c r="B4961" s="5" t="n"/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</row>
    <row r="4962">
      <c r="A4962" s="5" t="n"/>
      <c r="B4962" s="5" t="n"/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</row>
    <row r="4963">
      <c r="A4963" s="5" t="n"/>
      <c r="B4963" s="5" t="n"/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</row>
    <row r="4964">
      <c r="A4964" s="5" t="n"/>
      <c r="B4964" s="5" t="n"/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</row>
    <row r="4965">
      <c r="A4965" s="5" t="n"/>
      <c r="B4965" s="5" t="n"/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</row>
    <row r="4966">
      <c r="A4966" s="5" t="n"/>
      <c r="B4966" s="5" t="n"/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</row>
    <row r="4967">
      <c r="A4967" s="5" t="n"/>
      <c r="B4967" s="5" t="n"/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</row>
    <row r="4968">
      <c r="A4968" s="5" t="n"/>
      <c r="B4968" s="5" t="n"/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</row>
    <row r="4969">
      <c r="A4969" s="5" t="n"/>
      <c r="B4969" s="5" t="n"/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</row>
    <row r="4972">
      <c r="A4972" s="5" t="n"/>
      <c r="B4972" s="5" t="n"/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</row>
    <row r="4973">
      <c r="A4973" s="5" t="n"/>
      <c r="B4973" s="5" t="n"/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</row>
    <row r="4974">
      <c r="A4974" s="5" t="n"/>
      <c r="B4974" s="5" t="n"/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</row>
    <row r="4975">
      <c r="A4975" s="5" t="n"/>
      <c r="B4975" s="5" t="n"/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</row>
    <row r="4976">
      <c r="A4976" s="5" t="n"/>
      <c r="B4976" s="5" t="n"/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</row>
    <row r="4977">
      <c r="A4977" s="5" t="n"/>
      <c r="B4977" s="5" t="n"/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</row>
    <row r="4978">
      <c r="A4978" s="5" t="n"/>
      <c r="B4978" s="5" t="n"/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</row>
    <row r="4979">
      <c r="A4979" s="5" t="n"/>
      <c r="B4979" s="5" t="n"/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</row>
    <row r="4980">
      <c r="A4980" s="5" t="n"/>
      <c r="B4980" s="5" t="n"/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</row>
    <row r="4981">
      <c r="A4981" s="5" t="n"/>
      <c r="B4981" s="5" t="n"/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</row>
    <row r="4982">
      <c r="A4982" s="5" t="n"/>
      <c r="B4982" s="5" t="n"/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</row>
    <row r="4983">
      <c r="A4983" s="5" t="n"/>
      <c r="B4983" s="5" t="n"/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</row>
    <row r="4984">
      <c r="A4984" s="5" t="n"/>
      <c r="B4984" s="5" t="n"/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</row>
    <row r="4987">
      <c r="A4987" s="5" t="n"/>
      <c r="B4987" s="5" t="n"/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</row>
    <row r="4988">
      <c r="A4988" s="5" t="n"/>
      <c r="B4988" s="5" t="n"/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</row>
    <row r="4989">
      <c r="A4989" s="5" t="n"/>
      <c r="B4989" s="5" t="n"/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</row>
    <row r="4990">
      <c r="A4990" s="5" t="n"/>
      <c r="B4990" s="5" t="n"/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</row>
    <row r="4991">
      <c r="A4991" s="5" t="n"/>
      <c r="B4991" s="5" t="n"/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</row>
    <row r="4992">
      <c r="A4992" s="5" t="n"/>
      <c r="B4992" s="5" t="n"/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</row>
    <row r="4993">
      <c r="A4993" s="5" t="n"/>
      <c r="B4993" s="5" t="n"/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</row>
    <row r="4994">
      <c r="A4994" s="5" t="n"/>
      <c r="B4994" s="5" t="n"/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</row>
    <row r="4995">
      <c r="A4995" s="5" t="n"/>
      <c r="B4995" s="5" t="n"/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</row>
    <row r="4996">
      <c r="A4996" s="5" t="n"/>
      <c r="B4996" s="5" t="n"/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</row>
    <row r="4997">
      <c r="A4997" s="5" t="n"/>
      <c r="B4997" s="5" t="n"/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</row>
    <row r="4998">
      <c r="A4998" s="5" t="n"/>
      <c r="B4998" s="5" t="n"/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</row>
    <row r="4999">
      <c r="A4999" s="5" t="n"/>
      <c r="B4999" s="5" t="n"/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</row>
    <row r="5002">
      <c r="A5002" s="5" t="n"/>
      <c r="B5002" s="5" t="n"/>
      <c r="C5002" s="5" t="n"/>
      <c r="D5002" s="5" t="n"/>
      <c r="E5002" s="5" t="n"/>
      <c r="F5002" s="5" t="n"/>
      <c r="G5002" s="5" t="n"/>
      <c r="H5002" s="5" t="n"/>
      <c r="I5002" s="5" t="n"/>
      <c r="J5002" s="5" t="n"/>
      <c r="K5002" s="5" t="n"/>
      <c r="L5002" s="5" t="n"/>
    </row>
    <row r="5003">
      <c r="A5003" s="5" t="n"/>
      <c r="B5003" s="5" t="n"/>
      <c r="C5003" s="5" t="n"/>
      <c r="D5003" s="5" t="n"/>
      <c r="E5003" s="5" t="n"/>
      <c r="F5003" s="5" t="n"/>
      <c r="G5003" s="5" t="n"/>
      <c r="H5003" s="5" t="n"/>
      <c r="I5003" s="5" t="n"/>
      <c r="J5003" s="5" t="n"/>
      <c r="K5003" s="5" t="n"/>
      <c r="L5003" s="5" t="n"/>
    </row>
  </sheetData>
  <dataValidations count="1">
    <dataValidation sqref="A4:A2003 A4:A5003" showDropDown="0" showInputMessage="0" showErrorMessage="0" allowBlank="1" type="list">
      <formula1>=tblAccounts[Account_ID]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20" customWidth="1" min="8" max="8"/>
    <col width="18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Account Rollup (from INPUT_ACCOUNT_SUMMARY)</t>
        </is>
      </c>
    </row>
    <row r="3">
      <c r="A3" s="4" t="inlineStr">
        <is>
          <t>Account_ID</t>
        </is>
      </c>
      <c r="B3" s="4" t="inlineStr">
        <is>
          <t>Account_Name</t>
        </is>
      </c>
      <c r="C3" s="4" t="inlineStr">
        <is>
          <t>Household_ID</t>
        </is>
      </c>
      <c r="D3" s="4" t="inlineStr">
        <is>
          <t>Begin_Balance_Base</t>
        </is>
      </c>
      <c r="E3" s="4" t="inlineStr">
        <is>
          <t>End_Balance_Base</t>
        </is>
      </c>
      <c r="F3" s="4" t="inlineStr">
        <is>
          <t>Net_Contrib_Base</t>
        </is>
      </c>
      <c r="G3" s="4" t="inlineStr">
        <is>
          <t>Income_Interest_Base</t>
        </is>
      </c>
      <c r="H3" s="4" t="inlineStr">
        <is>
          <t>Income_Dividends_Base</t>
        </is>
      </c>
      <c r="I3" s="4" t="inlineStr">
        <is>
          <t>Income_Other_Base</t>
        </is>
      </c>
      <c r="J3" s="4" t="inlineStr">
        <is>
          <t>Income_Total_Base</t>
        </is>
      </c>
      <c r="K3" s="4" t="inlineStr">
        <is>
          <t>Realized_GL_Base</t>
        </is>
      </c>
      <c r="L3" s="4" t="inlineStr">
        <is>
          <t>Fees_Base</t>
        </is>
      </c>
      <c r="M3" s="4" t="inlineStr">
        <is>
          <t>Taxes_Base</t>
        </is>
      </c>
      <c r="N3" s="4" t="inlineStr">
        <is>
          <t>Return_Period</t>
        </is>
      </c>
    </row>
    <row r="4">
      <c r="A4" s="5">
        <f>IFERROR(INDEX(tblAccounts[Account_ID],1),"")</f>
        <v/>
      </c>
      <c r="B4" s="5">
        <f>IF(A4="","",IFERROR(XLOOKUP(A4,tblAccounts[Account_ID],tblAccounts[Account_Name],""),""))</f>
        <v/>
      </c>
      <c r="C4" s="5">
        <f>IF(A4="","",IFERROR(XLOOKUP(A4,tblAccounts[Account_ID],tblAccounts[Household_ID],""),""))</f>
        <v/>
      </c>
      <c r="D4" s="5">
        <f>IF(A4="","",IF(IFERROR(XLOOKUP(A4,tblAccounts[Account_ID],tblAccounts[Include],FALSE),FALSE),SUMIFS(tblAcctSummary[Begin_Balance_Base],tblAcctSummary[Account_ID],A4),0))</f>
        <v/>
      </c>
      <c r="E4" s="5">
        <f>IF(A4="","",IF(IFERROR(XLOOKUP(A4,tblAccounts[Account_ID],tblAccounts[Include],FALSE),FALSE),SUMIFS(tblAcctSummary[End_Balance_Base],tblAcctSummary[Account_ID],A4),0))</f>
        <v/>
      </c>
      <c r="F4" s="5">
        <f>IF(A4="","",IF(IFERROR(XLOOKUP(A4,tblAccounts[Account_ID],tblAccounts[Include],FALSE),FALSE),SUMIFS(tblAcctSummary[Net_Contrib_Base],tblAcctSummary[Account_ID],A4),0))</f>
        <v/>
      </c>
      <c r="G4" s="5">
        <f>IF(A4="","",IF(IFERROR(XLOOKUP(A4,tblAccounts[Account_ID],tblAccounts[Include],FALSE),FALSE),SUMIFS(tblAcctSummary[Income_Interest_Base],tblAcctSummary[Account_ID],A4),0))</f>
        <v/>
      </c>
      <c r="H4" s="5">
        <f>IF(A4="","",IF(IFERROR(XLOOKUP(A4,tblAccounts[Account_ID],tblAccounts[Include],FALSE),FALSE),SUMIFS(tblAcctSummary[Income_Dividends_Base],tblAcctSummary[Account_ID],A4),0))</f>
        <v/>
      </c>
      <c r="I4" s="5">
        <f>IF(A4="","",IF(IFERROR(XLOOKUP(A4,tblAccounts[Account_ID],tblAccounts[Include],FALSE),FALSE),SUMIFS(tblAcctSummary[Income_Other_Base],tblAcctSummary[Account_ID],A4),0))</f>
        <v/>
      </c>
      <c r="J4" s="5">
        <f>IF(A4="","",SUM(G4:I4))</f>
        <v/>
      </c>
      <c r="K4" s="5">
        <f>IF(A4="","",IF(IFERROR(XLOOKUP(A4,tblAccounts[Account_ID],tblAccounts[Include],FALSE),FALSE),SUMIFS(tblAcctSummary[Realized_GL_Base],tblAcctSummary[Account_ID],A4),0))</f>
        <v/>
      </c>
      <c r="L4" s="5">
        <f>IF(A4="","",IF(IFERROR(XLOOKUP(A4,tblAccounts[Account_ID],tblAccounts[Include],FALSE),FALSE),SUMIFS(tblAcctSummary[Fees_Base],tblAcctSummary[Account_ID],A4),0))</f>
        <v/>
      </c>
      <c r="M4" s="5">
        <f>IF(A4="","",IF(IFERROR(XLOOKUP(A4,tblAccounts[Account_ID],tblAccounts[Include],FALSE),FALSE),SUMIFS(tblAcctSummary[Taxes_Base],tblAcctSummary[Account_ID],A4),0))</f>
        <v/>
      </c>
      <c r="N4" s="5">
        <f>IF(A4="","",IF(IFERROR(XLOOKUP(A4,tblAccounts[Account_ID],tblAccounts[Include],FALSE),FALSE),IFERROR(SUMPRODUCT(tblAcctSummary[Return_Period],tblAcctSummary[Begin_Balance_Base],--(tblAcctSummary[Account_ID]=A4))/IF(SUMIFS(tblAcctSummary[Begin_Balance_Base],tblAcctSummary[Account_ID],A4)=0,NA(),SUMIFS(tblAcctSummary[Begin_Balance_Base],tblAcctSummary[Account_ID],A4)),0),0))</f>
        <v/>
      </c>
    </row>
    <row r="5">
      <c r="A5" s="5">
        <f>IFERROR(INDEX(tblAccounts[Account_ID],2),"")</f>
        <v/>
      </c>
      <c r="B5" s="5">
        <f>IF(A5="","",IFERROR(XLOOKUP(A5,tblAccounts[Account_ID],tblAccounts[Account_Name],""),""))</f>
        <v/>
      </c>
      <c r="C5" s="5">
        <f>IF(A5="","",IFERROR(XLOOKUP(A5,tblAccounts[Account_ID],tblAccounts[Household_ID],""),""))</f>
        <v/>
      </c>
      <c r="D5" s="5">
        <f>IF(A5="","",IF(IFERROR(XLOOKUP(A5,tblAccounts[Account_ID],tblAccounts[Include],FALSE),FALSE),SUMIFS(tblAcctSummary[Begin_Balance_Base],tblAcctSummary[Account_ID],A5),0))</f>
        <v/>
      </c>
      <c r="E5" s="5">
        <f>IF(A5="","",IF(IFERROR(XLOOKUP(A5,tblAccounts[Account_ID],tblAccounts[Include],FALSE),FALSE),SUMIFS(tblAcctSummary[End_Balance_Base],tblAcctSummary[Account_ID],A5),0))</f>
        <v/>
      </c>
      <c r="F5" s="5">
        <f>IF(A5="","",IF(IFERROR(XLOOKUP(A5,tblAccounts[Account_ID],tblAccounts[Include],FALSE),FALSE),SUMIFS(tblAcctSummary[Net_Contrib_Base],tblAcctSummary[Account_ID],A5),0))</f>
        <v/>
      </c>
      <c r="G5" s="5">
        <f>IF(A5="","",IF(IFERROR(XLOOKUP(A5,tblAccounts[Account_ID],tblAccounts[Include],FALSE),FALSE),SUMIFS(tblAcctSummary[Income_Interest_Base],tblAcctSummary[Account_ID],A5),0))</f>
        <v/>
      </c>
      <c r="H5" s="5">
        <f>IF(A5="","",IF(IFERROR(XLOOKUP(A5,tblAccounts[Account_ID],tblAccounts[Include],FALSE),FALSE),SUMIFS(tblAcctSummary[Income_Dividends_Base],tblAcctSummary[Account_ID],A5),0))</f>
        <v/>
      </c>
      <c r="I5" s="5">
        <f>IF(A5="","",IF(IFERROR(XLOOKUP(A5,tblAccounts[Account_ID],tblAccounts[Include],FALSE),FALSE),SUMIFS(tblAcctSummary[Income_Other_Base],tblAcctSummary[Account_ID],A5),0))</f>
        <v/>
      </c>
      <c r="J5" s="5">
        <f>IF(A5="","",SUM(G5:I5))</f>
        <v/>
      </c>
      <c r="K5" s="5">
        <f>IF(A5="","",IF(IFERROR(XLOOKUP(A5,tblAccounts[Account_ID],tblAccounts[Include],FALSE),FALSE),SUMIFS(tblAcctSummary[Realized_GL_Base],tblAcctSummary[Account_ID],A5),0))</f>
        <v/>
      </c>
      <c r="L5" s="5">
        <f>IF(A5="","",IF(IFERROR(XLOOKUP(A5,tblAccounts[Account_ID],tblAccounts[Include],FALSE),FALSE),SUMIFS(tblAcctSummary[Fees_Base],tblAcctSummary[Account_ID],A5),0))</f>
        <v/>
      </c>
      <c r="M5" s="5">
        <f>IF(A5="","",IF(IFERROR(XLOOKUP(A5,tblAccounts[Account_ID],tblAccounts[Include],FALSE),FALSE),SUMIFS(tblAcctSummary[Taxes_Base],tblAcctSummary[Account_ID],A5),0))</f>
        <v/>
      </c>
      <c r="N5" s="5">
        <f>IF(A5="","",IF(IFERROR(XLOOKUP(A5,tblAccounts[Account_ID],tblAccounts[Include],FALSE),FALSE),IFERROR(SUMPRODUCT(tblAcctSummary[Return_Period],tblAcctSummary[Begin_Balance_Base],--(tblAcctSummary[Account_ID]=A5))/IF(SUMIFS(tblAcctSummary[Begin_Balance_Base],tblAcctSummary[Account_ID],A5)=0,NA(),SUMIFS(tblAcctSummary[Begin_Balance_Base],tblAcctSummary[Account_ID],A5)),0),0))</f>
        <v/>
      </c>
    </row>
    <row r="6">
      <c r="A6" s="5">
        <f>IFERROR(INDEX(tblAccounts[Account_ID],3),"")</f>
        <v/>
      </c>
      <c r="B6" s="5">
        <f>IF(A6="","",IFERROR(XLOOKUP(A6,tblAccounts[Account_ID],tblAccounts[Account_Name],""),""))</f>
        <v/>
      </c>
      <c r="C6" s="5">
        <f>IF(A6="","",IFERROR(XLOOKUP(A6,tblAccounts[Account_ID],tblAccounts[Household_ID],""),""))</f>
        <v/>
      </c>
      <c r="D6" s="5">
        <f>IF(A6="","",IF(IFERROR(XLOOKUP(A6,tblAccounts[Account_ID],tblAccounts[Include],FALSE),FALSE),SUMIFS(tblAcctSummary[Begin_Balance_Base],tblAcctSummary[Account_ID],A6),0))</f>
        <v/>
      </c>
      <c r="E6" s="5">
        <f>IF(A6="","",IF(IFERROR(XLOOKUP(A6,tblAccounts[Account_ID],tblAccounts[Include],FALSE),FALSE),SUMIFS(tblAcctSummary[End_Balance_Base],tblAcctSummary[Account_ID],A6),0))</f>
        <v/>
      </c>
      <c r="F6" s="5">
        <f>IF(A6="","",IF(IFERROR(XLOOKUP(A6,tblAccounts[Account_ID],tblAccounts[Include],FALSE),FALSE),SUMIFS(tblAcctSummary[Net_Contrib_Base],tblAcctSummary[Account_ID],A6),0))</f>
        <v/>
      </c>
      <c r="G6" s="5">
        <f>IF(A6="","",IF(IFERROR(XLOOKUP(A6,tblAccounts[Account_ID],tblAccounts[Include],FALSE),FALSE),SUMIFS(tblAcctSummary[Income_Interest_Base],tblAcctSummary[Account_ID],A6),0))</f>
        <v/>
      </c>
      <c r="H6" s="5">
        <f>IF(A6="","",IF(IFERROR(XLOOKUP(A6,tblAccounts[Account_ID],tblAccounts[Include],FALSE),FALSE),SUMIFS(tblAcctSummary[Income_Dividends_Base],tblAcctSummary[Account_ID],A6),0))</f>
        <v/>
      </c>
      <c r="I6" s="5">
        <f>IF(A6="","",IF(IFERROR(XLOOKUP(A6,tblAccounts[Account_ID],tblAccounts[Include],FALSE),FALSE),SUMIFS(tblAcctSummary[Income_Other_Base],tblAcctSummary[Account_ID],A6),0))</f>
        <v/>
      </c>
      <c r="J6" s="5">
        <f>IF(A6="","",SUM(G6:I6))</f>
        <v/>
      </c>
      <c r="K6" s="5">
        <f>IF(A6="","",IF(IFERROR(XLOOKUP(A6,tblAccounts[Account_ID],tblAccounts[Include],FALSE),FALSE),SUMIFS(tblAcctSummary[Realized_GL_Base],tblAcctSummary[Account_ID],A6),0))</f>
        <v/>
      </c>
      <c r="L6" s="5">
        <f>IF(A6="","",IF(IFERROR(XLOOKUP(A6,tblAccounts[Account_ID],tblAccounts[Include],FALSE),FALSE),SUMIFS(tblAcctSummary[Fees_Base],tblAcctSummary[Account_ID],A6),0))</f>
        <v/>
      </c>
      <c r="M6" s="5">
        <f>IF(A6="","",IF(IFERROR(XLOOKUP(A6,tblAccounts[Account_ID],tblAccounts[Include],FALSE),FALSE),SUMIFS(tblAcctSummary[Taxes_Base],tblAcctSummary[Account_ID],A6),0))</f>
        <v/>
      </c>
      <c r="N6" s="5">
        <f>IF(A6="","",IF(IFERROR(XLOOKUP(A6,tblAccounts[Account_ID],tblAccounts[Include],FALSE),FALSE),IFERROR(SUMPRODUCT(tblAcctSummary[Return_Period],tblAcctSummary[Begin_Balance_Base],--(tblAcctSummary[Account_ID]=A6))/IF(SUMIFS(tblAcctSummary[Begin_Balance_Base],tblAcctSummary[Account_ID],A6)=0,NA(),SUMIFS(tblAcctSummary[Begin_Balance_Base],tblAcctSummary[Account_ID],A6)),0),0))</f>
        <v/>
      </c>
    </row>
    <row r="7">
      <c r="A7" s="5">
        <f>IFERROR(INDEX(tblAccounts[Account_ID],4),"")</f>
        <v/>
      </c>
      <c r="B7" s="5">
        <f>IF(A7="","",IFERROR(XLOOKUP(A7,tblAccounts[Account_ID],tblAccounts[Account_Name],""),""))</f>
        <v/>
      </c>
      <c r="C7" s="5">
        <f>IF(A7="","",IFERROR(XLOOKUP(A7,tblAccounts[Account_ID],tblAccounts[Household_ID],""),""))</f>
        <v/>
      </c>
      <c r="D7" s="5">
        <f>IF(A7="","",IF(IFERROR(XLOOKUP(A7,tblAccounts[Account_ID],tblAccounts[Include],FALSE),FALSE),SUMIFS(tblAcctSummary[Begin_Balance_Base],tblAcctSummary[Account_ID],A7),0))</f>
        <v/>
      </c>
      <c r="E7" s="5">
        <f>IF(A7="","",IF(IFERROR(XLOOKUP(A7,tblAccounts[Account_ID],tblAccounts[Include],FALSE),FALSE),SUMIFS(tblAcctSummary[End_Balance_Base],tblAcctSummary[Account_ID],A7),0))</f>
        <v/>
      </c>
      <c r="F7" s="5">
        <f>IF(A7="","",IF(IFERROR(XLOOKUP(A7,tblAccounts[Account_ID],tblAccounts[Include],FALSE),FALSE),SUMIFS(tblAcctSummary[Net_Contrib_Base],tblAcctSummary[Account_ID],A7),0))</f>
        <v/>
      </c>
      <c r="G7" s="5">
        <f>IF(A7="","",IF(IFERROR(XLOOKUP(A7,tblAccounts[Account_ID],tblAccounts[Include],FALSE),FALSE),SUMIFS(tblAcctSummary[Income_Interest_Base],tblAcctSummary[Account_ID],A7),0))</f>
        <v/>
      </c>
      <c r="H7" s="5">
        <f>IF(A7="","",IF(IFERROR(XLOOKUP(A7,tblAccounts[Account_ID],tblAccounts[Include],FALSE),FALSE),SUMIFS(tblAcctSummary[Income_Dividends_Base],tblAcctSummary[Account_ID],A7),0))</f>
        <v/>
      </c>
      <c r="I7" s="5">
        <f>IF(A7="","",IF(IFERROR(XLOOKUP(A7,tblAccounts[Account_ID],tblAccounts[Include],FALSE),FALSE),SUMIFS(tblAcctSummary[Income_Other_Base],tblAcctSummary[Account_ID],A7),0))</f>
        <v/>
      </c>
      <c r="J7" s="5">
        <f>IF(A7="","",SUM(G7:I7))</f>
        <v/>
      </c>
      <c r="K7" s="5">
        <f>IF(A7="","",IF(IFERROR(XLOOKUP(A7,tblAccounts[Account_ID],tblAccounts[Include],FALSE),FALSE),SUMIFS(tblAcctSummary[Realized_GL_Base],tblAcctSummary[Account_ID],A7),0))</f>
        <v/>
      </c>
      <c r="L7" s="5">
        <f>IF(A7="","",IF(IFERROR(XLOOKUP(A7,tblAccounts[Account_ID],tblAccounts[Include],FALSE),FALSE),SUMIFS(tblAcctSummary[Fees_Base],tblAcctSummary[Account_ID],A7),0))</f>
        <v/>
      </c>
      <c r="M7" s="5">
        <f>IF(A7="","",IF(IFERROR(XLOOKUP(A7,tblAccounts[Account_ID],tblAccounts[Include],FALSE),FALSE),SUMIFS(tblAcctSummary[Taxes_Base],tblAcctSummary[Account_ID],A7),0))</f>
        <v/>
      </c>
      <c r="N7" s="5">
        <f>IF(A7="","",IF(IFERROR(XLOOKUP(A7,tblAccounts[Account_ID],tblAccounts[Include],FALSE),FALSE),IFERROR(SUMPRODUCT(tblAcctSummary[Return_Period],tblAcctSummary[Begin_Balance_Base],--(tblAcctSummary[Account_ID]=A7))/IF(SUMIFS(tblAcctSummary[Begin_Balance_Base],tblAcctSummary[Account_ID],A7)=0,NA(),SUMIFS(tblAcctSummary[Begin_Balance_Base],tblAcctSummary[Account_ID],A7)),0),0))</f>
        <v/>
      </c>
    </row>
    <row r="8">
      <c r="A8" s="5">
        <f>IFERROR(INDEX(tblAccounts[Account_ID],5),"")</f>
        <v/>
      </c>
      <c r="B8" s="5">
        <f>IF(A8="","",IFERROR(XLOOKUP(A8,tblAccounts[Account_ID],tblAccounts[Account_Name],""),""))</f>
        <v/>
      </c>
      <c r="C8" s="5">
        <f>IF(A8="","",IFERROR(XLOOKUP(A8,tblAccounts[Account_ID],tblAccounts[Household_ID],""),""))</f>
        <v/>
      </c>
      <c r="D8" s="5">
        <f>IF(A8="","",IF(IFERROR(XLOOKUP(A8,tblAccounts[Account_ID],tblAccounts[Include],FALSE),FALSE),SUMIFS(tblAcctSummary[Begin_Balance_Base],tblAcctSummary[Account_ID],A8),0))</f>
        <v/>
      </c>
      <c r="E8" s="5">
        <f>IF(A8="","",IF(IFERROR(XLOOKUP(A8,tblAccounts[Account_ID],tblAccounts[Include],FALSE),FALSE),SUMIFS(tblAcctSummary[End_Balance_Base],tblAcctSummary[Account_ID],A8),0))</f>
        <v/>
      </c>
      <c r="F8" s="5">
        <f>IF(A8="","",IF(IFERROR(XLOOKUP(A8,tblAccounts[Account_ID],tblAccounts[Include],FALSE),FALSE),SUMIFS(tblAcctSummary[Net_Contrib_Base],tblAcctSummary[Account_ID],A8),0))</f>
        <v/>
      </c>
      <c r="G8" s="5">
        <f>IF(A8="","",IF(IFERROR(XLOOKUP(A8,tblAccounts[Account_ID],tblAccounts[Include],FALSE),FALSE),SUMIFS(tblAcctSummary[Income_Interest_Base],tblAcctSummary[Account_ID],A8),0))</f>
        <v/>
      </c>
      <c r="H8" s="5">
        <f>IF(A8="","",IF(IFERROR(XLOOKUP(A8,tblAccounts[Account_ID],tblAccounts[Include],FALSE),FALSE),SUMIFS(tblAcctSummary[Income_Dividends_Base],tblAcctSummary[Account_ID],A8),0))</f>
        <v/>
      </c>
      <c r="I8" s="5">
        <f>IF(A8="","",IF(IFERROR(XLOOKUP(A8,tblAccounts[Account_ID],tblAccounts[Include],FALSE),FALSE),SUMIFS(tblAcctSummary[Income_Other_Base],tblAcctSummary[Account_ID],A8),0))</f>
        <v/>
      </c>
      <c r="J8" s="5">
        <f>IF(A8="","",SUM(G8:I8))</f>
        <v/>
      </c>
      <c r="K8" s="5">
        <f>IF(A8="","",IF(IFERROR(XLOOKUP(A8,tblAccounts[Account_ID],tblAccounts[Include],FALSE),FALSE),SUMIFS(tblAcctSummary[Realized_GL_Base],tblAcctSummary[Account_ID],A8),0))</f>
        <v/>
      </c>
      <c r="L8" s="5">
        <f>IF(A8="","",IF(IFERROR(XLOOKUP(A8,tblAccounts[Account_ID],tblAccounts[Include],FALSE),FALSE),SUMIFS(tblAcctSummary[Fees_Base],tblAcctSummary[Account_ID],A8),0))</f>
        <v/>
      </c>
      <c r="M8" s="5">
        <f>IF(A8="","",IF(IFERROR(XLOOKUP(A8,tblAccounts[Account_ID],tblAccounts[Include],FALSE),FALSE),SUMIFS(tblAcctSummary[Taxes_Base],tblAcctSummary[Account_ID],A8),0))</f>
        <v/>
      </c>
      <c r="N8" s="5">
        <f>IF(A8="","",IF(IFERROR(XLOOKUP(A8,tblAccounts[Account_ID],tblAccounts[Include],FALSE),FALSE),IFERROR(SUMPRODUCT(tblAcctSummary[Return_Period],tblAcctSummary[Begin_Balance_Base],--(tblAcctSummary[Account_ID]=A8))/IF(SUMIFS(tblAcctSummary[Begin_Balance_Base],tblAcctSummary[Account_ID],A8)=0,NA(),SUMIFS(tblAcctSummary[Begin_Balance_Base],tblAcctSummary[Account_ID],A8)),0),0))</f>
        <v/>
      </c>
    </row>
    <row r="9">
      <c r="A9" s="5">
        <f>IFERROR(INDEX(tblAccounts[Account_ID],6),"")</f>
        <v/>
      </c>
      <c r="B9" s="5">
        <f>IF(A9="","",IFERROR(XLOOKUP(A9,tblAccounts[Account_ID],tblAccounts[Account_Name],""),""))</f>
        <v/>
      </c>
      <c r="C9" s="5">
        <f>IF(A9="","",IFERROR(XLOOKUP(A9,tblAccounts[Account_ID],tblAccounts[Household_ID],""),""))</f>
        <v/>
      </c>
      <c r="D9" s="5">
        <f>IF(A9="","",IF(IFERROR(XLOOKUP(A9,tblAccounts[Account_ID],tblAccounts[Include],FALSE),FALSE),SUMIFS(tblAcctSummary[Begin_Balance_Base],tblAcctSummary[Account_ID],A9),0))</f>
        <v/>
      </c>
      <c r="E9" s="5">
        <f>IF(A9="","",IF(IFERROR(XLOOKUP(A9,tblAccounts[Account_ID],tblAccounts[Include],FALSE),FALSE),SUMIFS(tblAcctSummary[End_Balance_Base],tblAcctSummary[Account_ID],A9),0))</f>
        <v/>
      </c>
      <c r="F9" s="5">
        <f>IF(A9="","",IF(IFERROR(XLOOKUP(A9,tblAccounts[Account_ID],tblAccounts[Include],FALSE),FALSE),SUMIFS(tblAcctSummary[Net_Contrib_Base],tblAcctSummary[Account_ID],A9),0))</f>
        <v/>
      </c>
      <c r="G9" s="5">
        <f>IF(A9="","",IF(IFERROR(XLOOKUP(A9,tblAccounts[Account_ID],tblAccounts[Include],FALSE),FALSE),SUMIFS(tblAcctSummary[Income_Interest_Base],tblAcctSummary[Account_ID],A9),0))</f>
        <v/>
      </c>
      <c r="H9" s="5">
        <f>IF(A9="","",IF(IFERROR(XLOOKUP(A9,tblAccounts[Account_ID],tblAccounts[Include],FALSE),FALSE),SUMIFS(tblAcctSummary[Income_Dividends_Base],tblAcctSummary[Account_ID],A9),0))</f>
        <v/>
      </c>
      <c r="I9" s="5">
        <f>IF(A9="","",IF(IFERROR(XLOOKUP(A9,tblAccounts[Account_ID],tblAccounts[Include],FALSE),FALSE),SUMIFS(tblAcctSummary[Income_Other_Base],tblAcctSummary[Account_ID],A9),0))</f>
        <v/>
      </c>
      <c r="J9" s="5">
        <f>IF(A9="","",SUM(G9:I9))</f>
        <v/>
      </c>
      <c r="K9" s="5">
        <f>IF(A9="","",IF(IFERROR(XLOOKUP(A9,tblAccounts[Account_ID],tblAccounts[Include],FALSE),FALSE),SUMIFS(tblAcctSummary[Realized_GL_Base],tblAcctSummary[Account_ID],A9),0))</f>
        <v/>
      </c>
      <c r="L9" s="5">
        <f>IF(A9="","",IF(IFERROR(XLOOKUP(A9,tblAccounts[Account_ID],tblAccounts[Include],FALSE),FALSE),SUMIFS(tblAcctSummary[Fees_Base],tblAcctSummary[Account_ID],A9),0))</f>
        <v/>
      </c>
      <c r="M9" s="5">
        <f>IF(A9="","",IF(IFERROR(XLOOKUP(A9,tblAccounts[Account_ID],tblAccounts[Include],FALSE),FALSE),SUMIFS(tblAcctSummary[Taxes_Base],tblAcctSummary[Account_ID],A9),0))</f>
        <v/>
      </c>
      <c r="N9" s="5">
        <f>IF(A9="","",IF(IFERROR(XLOOKUP(A9,tblAccounts[Account_ID],tblAccounts[Include],FALSE),FALSE),IFERROR(SUMPRODUCT(tblAcctSummary[Return_Period],tblAcctSummary[Begin_Balance_Base],--(tblAcctSummary[Account_ID]=A9))/IF(SUMIFS(tblAcctSummary[Begin_Balance_Base],tblAcctSummary[Account_ID],A9)=0,NA(),SUMIFS(tblAcctSummary[Begin_Balance_Base],tblAcctSummary[Account_ID],A9)),0),0))</f>
        <v/>
      </c>
    </row>
    <row r="10">
      <c r="A10" s="5">
        <f>IFERROR(INDEX(tblAccounts[Account_ID],7),"")</f>
        <v/>
      </c>
      <c r="B10" s="5">
        <f>IF(A10="","",IFERROR(XLOOKUP(A10,tblAccounts[Account_ID],tblAccounts[Account_Name],""),""))</f>
        <v/>
      </c>
      <c r="C10" s="5">
        <f>IF(A10="","",IFERROR(XLOOKUP(A10,tblAccounts[Account_ID],tblAccounts[Household_ID],""),""))</f>
        <v/>
      </c>
      <c r="D10" s="5">
        <f>IF(A10="","",IF(IFERROR(XLOOKUP(A10,tblAccounts[Account_ID],tblAccounts[Include],FALSE),FALSE),SUMIFS(tblAcctSummary[Begin_Balance_Base],tblAcctSummary[Account_ID],A10),0))</f>
        <v/>
      </c>
      <c r="E10" s="5">
        <f>IF(A10="","",IF(IFERROR(XLOOKUP(A10,tblAccounts[Account_ID],tblAccounts[Include],FALSE),FALSE),SUMIFS(tblAcctSummary[End_Balance_Base],tblAcctSummary[Account_ID],A10),0))</f>
        <v/>
      </c>
      <c r="F10" s="5">
        <f>IF(A10="","",IF(IFERROR(XLOOKUP(A10,tblAccounts[Account_ID],tblAccounts[Include],FALSE),FALSE),SUMIFS(tblAcctSummary[Net_Contrib_Base],tblAcctSummary[Account_ID],A10),0))</f>
        <v/>
      </c>
      <c r="G10" s="5">
        <f>IF(A10="","",IF(IFERROR(XLOOKUP(A10,tblAccounts[Account_ID],tblAccounts[Include],FALSE),FALSE),SUMIFS(tblAcctSummary[Income_Interest_Base],tblAcctSummary[Account_ID],A10),0))</f>
        <v/>
      </c>
      <c r="H10" s="5">
        <f>IF(A10="","",IF(IFERROR(XLOOKUP(A10,tblAccounts[Account_ID],tblAccounts[Include],FALSE),FALSE),SUMIFS(tblAcctSummary[Income_Dividends_Base],tblAcctSummary[Account_ID],A10),0))</f>
        <v/>
      </c>
      <c r="I10" s="5">
        <f>IF(A10="","",IF(IFERROR(XLOOKUP(A10,tblAccounts[Account_ID],tblAccounts[Include],FALSE),FALSE),SUMIFS(tblAcctSummary[Income_Other_Base],tblAcctSummary[Account_ID],A10),0))</f>
        <v/>
      </c>
      <c r="J10" s="5">
        <f>IF(A10="","",SUM(G10:I10))</f>
        <v/>
      </c>
      <c r="K10" s="5">
        <f>IF(A10="","",IF(IFERROR(XLOOKUP(A10,tblAccounts[Account_ID],tblAccounts[Include],FALSE),FALSE),SUMIFS(tblAcctSummary[Realized_GL_Base],tblAcctSummary[Account_ID],A10),0))</f>
        <v/>
      </c>
      <c r="L10" s="5">
        <f>IF(A10="","",IF(IFERROR(XLOOKUP(A10,tblAccounts[Account_ID],tblAccounts[Include],FALSE),FALSE),SUMIFS(tblAcctSummary[Fees_Base],tblAcctSummary[Account_ID],A10),0))</f>
        <v/>
      </c>
      <c r="M10" s="5">
        <f>IF(A10="","",IF(IFERROR(XLOOKUP(A10,tblAccounts[Account_ID],tblAccounts[Include],FALSE),FALSE),SUMIFS(tblAcctSummary[Taxes_Base],tblAcctSummary[Account_ID],A10),0))</f>
        <v/>
      </c>
      <c r="N10" s="5">
        <f>IF(A10="","",IF(IFERROR(XLOOKUP(A10,tblAccounts[Account_ID],tblAccounts[Include],FALSE),FALSE),IFERROR(SUMPRODUCT(tblAcctSummary[Return_Period],tblAcctSummary[Begin_Balance_Base],--(tblAcctSummary[Account_ID]=A10))/IF(SUMIFS(tblAcctSummary[Begin_Balance_Base],tblAcctSummary[Account_ID],A10)=0,NA(),SUMIFS(tblAcctSummary[Begin_Balance_Base],tblAcctSummary[Account_ID],A10)),0),0))</f>
        <v/>
      </c>
    </row>
    <row r="11">
      <c r="A11" s="5">
        <f>IFERROR(INDEX(tblAccounts[Account_ID],8),"")</f>
        <v/>
      </c>
      <c r="B11" s="5">
        <f>IF(A11="","",IFERROR(XLOOKUP(A11,tblAccounts[Account_ID],tblAccounts[Account_Name],""),""))</f>
        <v/>
      </c>
      <c r="C11" s="5">
        <f>IF(A11="","",IFERROR(XLOOKUP(A11,tblAccounts[Account_ID],tblAccounts[Household_ID],""),""))</f>
        <v/>
      </c>
      <c r="D11" s="5">
        <f>IF(A11="","",IF(IFERROR(XLOOKUP(A11,tblAccounts[Account_ID],tblAccounts[Include],FALSE),FALSE),SUMIFS(tblAcctSummary[Begin_Balance_Base],tblAcctSummary[Account_ID],A11),0))</f>
        <v/>
      </c>
      <c r="E11" s="5">
        <f>IF(A11="","",IF(IFERROR(XLOOKUP(A11,tblAccounts[Account_ID],tblAccounts[Include],FALSE),FALSE),SUMIFS(tblAcctSummary[End_Balance_Base],tblAcctSummary[Account_ID],A11),0))</f>
        <v/>
      </c>
      <c r="F11" s="5">
        <f>IF(A11="","",IF(IFERROR(XLOOKUP(A11,tblAccounts[Account_ID],tblAccounts[Include],FALSE),FALSE),SUMIFS(tblAcctSummary[Net_Contrib_Base],tblAcctSummary[Account_ID],A11),0))</f>
        <v/>
      </c>
      <c r="G11" s="5">
        <f>IF(A11="","",IF(IFERROR(XLOOKUP(A11,tblAccounts[Account_ID],tblAccounts[Include],FALSE),FALSE),SUMIFS(tblAcctSummary[Income_Interest_Base],tblAcctSummary[Account_ID],A11),0))</f>
        <v/>
      </c>
      <c r="H11" s="5">
        <f>IF(A11="","",IF(IFERROR(XLOOKUP(A11,tblAccounts[Account_ID],tblAccounts[Include],FALSE),FALSE),SUMIFS(tblAcctSummary[Income_Dividends_Base],tblAcctSummary[Account_ID],A11),0))</f>
        <v/>
      </c>
      <c r="I11" s="5">
        <f>IF(A11="","",IF(IFERROR(XLOOKUP(A11,tblAccounts[Account_ID],tblAccounts[Include],FALSE),FALSE),SUMIFS(tblAcctSummary[Income_Other_Base],tblAcctSummary[Account_ID],A11),0))</f>
        <v/>
      </c>
      <c r="J11" s="5">
        <f>IF(A11="","",SUM(G11:I11))</f>
        <v/>
      </c>
      <c r="K11" s="5">
        <f>IF(A11="","",IF(IFERROR(XLOOKUP(A11,tblAccounts[Account_ID],tblAccounts[Include],FALSE),FALSE),SUMIFS(tblAcctSummary[Realized_GL_Base],tblAcctSummary[Account_ID],A11),0))</f>
        <v/>
      </c>
      <c r="L11" s="5">
        <f>IF(A11="","",IF(IFERROR(XLOOKUP(A11,tblAccounts[Account_ID],tblAccounts[Include],FALSE),FALSE),SUMIFS(tblAcctSummary[Fees_Base],tblAcctSummary[Account_ID],A11),0))</f>
        <v/>
      </c>
      <c r="M11" s="5">
        <f>IF(A11="","",IF(IFERROR(XLOOKUP(A11,tblAccounts[Account_ID],tblAccounts[Include],FALSE),FALSE),SUMIFS(tblAcctSummary[Taxes_Base],tblAcctSummary[Account_ID],A11),0))</f>
        <v/>
      </c>
      <c r="N11" s="5">
        <f>IF(A11="","",IF(IFERROR(XLOOKUP(A11,tblAccounts[Account_ID],tblAccounts[Include],FALSE),FALSE),IFERROR(SUMPRODUCT(tblAcctSummary[Return_Period],tblAcctSummary[Begin_Balance_Base],--(tblAcctSummary[Account_ID]=A11))/IF(SUMIFS(tblAcctSummary[Begin_Balance_Base],tblAcctSummary[Account_ID],A11)=0,NA(),SUMIFS(tblAcctSummary[Begin_Balance_Base],tblAcctSummary[Account_ID],A11)),0),0))</f>
        <v/>
      </c>
    </row>
    <row r="12">
      <c r="A12" s="5">
        <f>IFERROR(INDEX(tblAccounts[Account_ID],9),"")</f>
        <v/>
      </c>
      <c r="B12" s="5">
        <f>IF(A12="","",IFERROR(XLOOKUP(A12,tblAccounts[Account_ID],tblAccounts[Account_Name],""),""))</f>
        <v/>
      </c>
      <c r="C12" s="5">
        <f>IF(A12="","",IFERROR(XLOOKUP(A12,tblAccounts[Account_ID],tblAccounts[Household_ID],""),""))</f>
        <v/>
      </c>
      <c r="D12" s="5">
        <f>IF(A12="","",IF(IFERROR(XLOOKUP(A12,tblAccounts[Account_ID],tblAccounts[Include],FALSE),FALSE),SUMIFS(tblAcctSummary[Begin_Balance_Base],tblAcctSummary[Account_ID],A12),0))</f>
        <v/>
      </c>
      <c r="E12" s="5">
        <f>IF(A12="","",IF(IFERROR(XLOOKUP(A12,tblAccounts[Account_ID],tblAccounts[Include],FALSE),FALSE),SUMIFS(tblAcctSummary[End_Balance_Base],tblAcctSummary[Account_ID],A12),0))</f>
        <v/>
      </c>
      <c r="F12" s="5">
        <f>IF(A12="","",IF(IFERROR(XLOOKUP(A12,tblAccounts[Account_ID],tblAccounts[Include],FALSE),FALSE),SUMIFS(tblAcctSummary[Net_Contrib_Base],tblAcctSummary[Account_ID],A12),0))</f>
        <v/>
      </c>
      <c r="G12" s="5">
        <f>IF(A12="","",IF(IFERROR(XLOOKUP(A12,tblAccounts[Account_ID],tblAccounts[Include],FALSE),FALSE),SUMIFS(tblAcctSummary[Income_Interest_Base],tblAcctSummary[Account_ID],A12),0))</f>
        <v/>
      </c>
      <c r="H12" s="5">
        <f>IF(A12="","",IF(IFERROR(XLOOKUP(A12,tblAccounts[Account_ID],tblAccounts[Include],FALSE),FALSE),SUMIFS(tblAcctSummary[Income_Dividends_Base],tblAcctSummary[Account_ID],A12),0))</f>
        <v/>
      </c>
      <c r="I12" s="5">
        <f>IF(A12="","",IF(IFERROR(XLOOKUP(A12,tblAccounts[Account_ID],tblAccounts[Include],FALSE),FALSE),SUMIFS(tblAcctSummary[Income_Other_Base],tblAcctSummary[Account_ID],A12),0))</f>
        <v/>
      </c>
      <c r="J12" s="5">
        <f>IF(A12="","",SUM(G12:I12))</f>
        <v/>
      </c>
      <c r="K12" s="5">
        <f>IF(A12="","",IF(IFERROR(XLOOKUP(A12,tblAccounts[Account_ID],tblAccounts[Include],FALSE),FALSE),SUMIFS(tblAcctSummary[Realized_GL_Base],tblAcctSummary[Account_ID],A12),0))</f>
        <v/>
      </c>
      <c r="L12" s="5">
        <f>IF(A12="","",IF(IFERROR(XLOOKUP(A12,tblAccounts[Account_ID],tblAccounts[Include],FALSE),FALSE),SUMIFS(tblAcctSummary[Fees_Base],tblAcctSummary[Account_ID],A12),0))</f>
        <v/>
      </c>
      <c r="M12" s="5">
        <f>IF(A12="","",IF(IFERROR(XLOOKUP(A12,tblAccounts[Account_ID],tblAccounts[Include],FALSE),FALSE),SUMIFS(tblAcctSummary[Taxes_Base],tblAcctSummary[Account_ID],A12),0))</f>
        <v/>
      </c>
      <c r="N12" s="5">
        <f>IF(A12="","",IF(IFERROR(XLOOKUP(A12,tblAccounts[Account_ID],tblAccounts[Include],FALSE),FALSE),IFERROR(SUMPRODUCT(tblAcctSummary[Return_Period],tblAcctSummary[Begin_Balance_Base],--(tblAcctSummary[Account_ID]=A12))/IF(SUMIFS(tblAcctSummary[Begin_Balance_Base],tblAcctSummary[Account_ID],A12)=0,NA(),SUMIFS(tblAcctSummary[Begin_Balance_Base],tblAcctSummary[Account_ID],A12)),0),0))</f>
        <v/>
      </c>
    </row>
    <row r="13">
      <c r="A13" s="5">
        <f>IFERROR(INDEX(tblAccounts[Account_ID],10),"")</f>
        <v/>
      </c>
      <c r="B13" s="5">
        <f>IF(A13="","",IFERROR(XLOOKUP(A13,tblAccounts[Account_ID],tblAccounts[Account_Name],""),""))</f>
        <v/>
      </c>
      <c r="C13" s="5">
        <f>IF(A13="","",IFERROR(XLOOKUP(A13,tblAccounts[Account_ID],tblAccounts[Household_ID],""),""))</f>
        <v/>
      </c>
      <c r="D13" s="5">
        <f>IF(A13="","",IF(IFERROR(XLOOKUP(A13,tblAccounts[Account_ID],tblAccounts[Include],FALSE),FALSE),SUMIFS(tblAcctSummary[Begin_Balance_Base],tblAcctSummary[Account_ID],A13),0))</f>
        <v/>
      </c>
      <c r="E13" s="5">
        <f>IF(A13="","",IF(IFERROR(XLOOKUP(A13,tblAccounts[Account_ID],tblAccounts[Include],FALSE),FALSE),SUMIFS(tblAcctSummary[End_Balance_Base],tblAcctSummary[Account_ID],A13),0))</f>
        <v/>
      </c>
      <c r="F13" s="5">
        <f>IF(A13="","",IF(IFERROR(XLOOKUP(A13,tblAccounts[Account_ID],tblAccounts[Include],FALSE),FALSE),SUMIFS(tblAcctSummary[Net_Contrib_Base],tblAcctSummary[Account_ID],A13),0))</f>
        <v/>
      </c>
      <c r="G13" s="5">
        <f>IF(A13="","",IF(IFERROR(XLOOKUP(A13,tblAccounts[Account_ID],tblAccounts[Include],FALSE),FALSE),SUMIFS(tblAcctSummary[Income_Interest_Base],tblAcctSummary[Account_ID],A13),0))</f>
        <v/>
      </c>
      <c r="H13" s="5">
        <f>IF(A13="","",IF(IFERROR(XLOOKUP(A13,tblAccounts[Account_ID],tblAccounts[Include],FALSE),FALSE),SUMIFS(tblAcctSummary[Income_Dividends_Base],tblAcctSummary[Account_ID],A13),0))</f>
        <v/>
      </c>
      <c r="I13" s="5">
        <f>IF(A13="","",IF(IFERROR(XLOOKUP(A13,tblAccounts[Account_ID],tblAccounts[Include],FALSE),FALSE),SUMIFS(tblAcctSummary[Income_Other_Base],tblAcctSummary[Account_ID],A13),0))</f>
        <v/>
      </c>
      <c r="J13" s="5">
        <f>IF(A13="","",SUM(G13:I13))</f>
        <v/>
      </c>
      <c r="K13" s="5">
        <f>IF(A13="","",IF(IFERROR(XLOOKUP(A13,tblAccounts[Account_ID],tblAccounts[Include],FALSE),FALSE),SUMIFS(tblAcctSummary[Realized_GL_Base],tblAcctSummary[Account_ID],A13),0))</f>
        <v/>
      </c>
      <c r="L13" s="5">
        <f>IF(A13="","",IF(IFERROR(XLOOKUP(A13,tblAccounts[Account_ID],tblAccounts[Include],FALSE),FALSE),SUMIFS(tblAcctSummary[Fees_Base],tblAcctSummary[Account_ID],A13),0))</f>
        <v/>
      </c>
      <c r="M13" s="5">
        <f>IF(A13="","",IF(IFERROR(XLOOKUP(A13,tblAccounts[Account_ID],tblAccounts[Include],FALSE),FALSE),SUMIFS(tblAcctSummary[Taxes_Base],tblAcctSummary[Account_ID],A13),0))</f>
        <v/>
      </c>
      <c r="N13" s="5">
        <f>IF(A13="","",IF(IFERROR(XLOOKUP(A13,tblAccounts[Account_ID],tblAccounts[Include],FALSE),FALSE),IFERROR(SUMPRODUCT(tblAcctSummary[Return_Period],tblAcctSummary[Begin_Balance_Base],--(tblAcctSummary[Account_ID]=A13))/IF(SUMIFS(tblAcctSummary[Begin_Balance_Base],tblAcctSummary[Account_ID],A13)=0,NA(),SUMIFS(tblAcctSummary[Begin_Balance_Base],tblAcctSummary[Account_ID],A13)),0),0))</f>
        <v/>
      </c>
    </row>
    <row r="14">
      <c r="A14" s="5">
        <f>IFERROR(INDEX(tblAccounts[Account_ID],11),"")</f>
        <v/>
      </c>
      <c r="B14" s="5">
        <f>IF(A14="","",IFERROR(XLOOKUP(A14,tblAccounts[Account_ID],tblAccounts[Account_Name],""),""))</f>
        <v/>
      </c>
      <c r="C14" s="5">
        <f>IF(A14="","",IFERROR(XLOOKUP(A14,tblAccounts[Account_ID],tblAccounts[Household_ID],""),""))</f>
        <v/>
      </c>
      <c r="D14" s="5">
        <f>IF(A14="","",IF(IFERROR(XLOOKUP(A14,tblAccounts[Account_ID],tblAccounts[Include],FALSE),FALSE),SUMIFS(tblAcctSummary[Begin_Balance_Base],tblAcctSummary[Account_ID],A14),0))</f>
        <v/>
      </c>
      <c r="E14" s="5">
        <f>IF(A14="","",IF(IFERROR(XLOOKUP(A14,tblAccounts[Account_ID],tblAccounts[Include],FALSE),FALSE),SUMIFS(tblAcctSummary[End_Balance_Base],tblAcctSummary[Account_ID],A14),0))</f>
        <v/>
      </c>
      <c r="F14" s="5">
        <f>IF(A14="","",IF(IFERROR(XLOOKUP(A14,tblAccounts[Account_ID],tblAccounts[Include],FALSE),FALSE),SUMIFS(tblAcctSummary[Net_Contrib_Base],tblAcctSummary[Account_ID],A14),0))</f>
        <v/>
      </c>
      <c r="G14" s="5">
        <f>IF(A14="","",IF(IFERROR(XLOOKUP(A14,tblAccounts[Account_ID],tblAccounts[Include],FALSE),FALSE),SUMIFS(tblAcctSummary[Income_Interest_Base],tblAcctSummary[Account_ID],A14),0))</f>
        <v/>
      </c>
      <c r="H14" s="5">
        <f>IF(A14="","",IF(IFERROR(XLOOKUP(A14,tblAccounts[Account_ID],tblAccounts[Include],FALSE),FALSE),SUMIFS(tblAcctSummary[Income_Dividends_Base],tblAcctSummary[Account_ID],A14),0))</f>
        <v/>
      </c>
      <c r="I14" s="5">
        <f>IF(A14="","",IF(IFERROR(XLOOKUP(A14,tblAccounts[Account_ID],tblAccounts[Include],FALSE),FALSE),SUMIFS(tblAcctSummary[Income_Other_Base],tblAcctSummary[Account_ID],A14),0))</f>
        <v/>
      </c>
      <c r="J14" s="5">
        <f>IF(A14="","",SUM(G14:I14))</f>
        <v/>
      </c>
      <c r="K14" s="5">
        <f>IF(A14="","",IF(IFERROR(XLOOKUP(A14,tblAccounts[Account_ID],tblAccounts[Include],FALSE),FALSE),SUMIFS(tblAcctSummary[Realized_GL_Base],tblAcctSummary[Account_ID],A14),0))</f>
        <v/>
      </c>
      <c r="L14" s="5">
        <f>IF(A14="","",IF(IFERROR(XLOOKUP(A14,tblAccounts[Account_ID],tblAccounts[Include],FALSE),FALSE),SUMIFS(tblAcctSummary[Fees_Base],tblAcctSummary[Account_ID],A14),0))</f>
        <v/>
      </c>
      <c r="M14" s="5">
        <f>IF(A14="","",IF(IFERROR(XLOOKUP(A14,tblAccounts[Account_ID],tblAccounts[Include],FALSE),FALSE),SUMIFS(tblAcctSummary[Taxes_Base],tblAcctSummary[Account_ID],A14),0))</f>
        <v/>
      </c>
      <c r="N14" s="5">
        <f>IF(A14="","",IF(IFERROR(XLOOKUP(A14,tblAccounts[Account_ID],tblAccounts[Include],FALSE),FALSE),IFERROR(SUMPRODUCT(tblAcctSummary[Return_Period],tblAcctSummary[Begin_Balance_Base],--(tblAcctSummary[Account_ID]=A14))/IF(SUMIFS(tblAcctSummary[Begin_Balance_Base],tblAcctSummary[Account_ID],A14)=0,NA(),SUMIFS(tblAcctSummary[Begin_Balance_Base],tblAcctSummary[Account_ID],A14)),0),0))</f>
        <v/>
      </c>
    </row>
    <row r="15">
      <c r="A15" s="5">
        <f>IFERROR(INDEX(tblAccounts[Account_ID],12),"")</f>
        <v/>
      </c>
      <c r="B15" s="5">
        <f>IF(A15="","",IFERROR(XLOOKUP(A15,tblAccounts[Account_ID],tblAccounts[Account_Name],""),""))</f>
        <v/>
      </c>
      <c r="C15" s="5">
        <f>IF(A15="","",IFERROR(XLOOKUP(A15,tblAccounts[Account_ID],tblAccounts[Household_ID],""),""))</f>
        <v/>
      </c>
      <c r="D15" s="5">
        <f>IF(A15="","",IF(IFERROR(XLOOKUP(A15,tblAccounts[Account_ID],tblAccounts[Include],FALSE),FALSE),SUMIFS(tblAcctSummary[Begin_Balance_Base],tblAcctSummary[Account_ID],A15),0))</f>
        <v/>
      </c>
      <c r="E15" s="5">
        <f>IF(A15="","",IF(IFERROR(XLOOKUP(A15,tblAccounts[Account_ID],tblAccounts[Include],FALSE),FALSE),SUMIFS(tblAcctSummary[End_Balance_Base],tblAcctSummary[Account_ID],A15),0))</f>
        <v/>
      </c>
      <c r="F15" s="5">
        <f>IF(A15="","",IF(IFERROR(XLOOKUP(A15,tblAccounts[Account_ID],tblAccounts[Include],FALSE),FALSE),SUMIFS(tblAcctSummary[Net_Contrib_Base],tblAcctSummary[Account_ID],A15),0))</f>
        <v/>
      </c>
      <c r="G15" s="5">
        <f>IF(A15="","",IF(IFERROR(XLOOKUP(A15,tblAccounts[Account_ID],tblAccounts[Include],FALSE),FALSE),SUMIFS(tblAcctSummary[Income_Interest_Base],tblAcctSummary[Account_ID],A15),0))</f>
        <v/>
      </c>
      <c r="H15" s="5">
        <f>IF(A15="","",IF(IFERROR(XLOOKUP(A15,tblAccounts[Account_ID],tblAccounts[Include],FALSE),FALSE),SUMIFS(tblAcctSummary[Income_Dividends_Base],tblAcctSummary[Account_ID],A15),0))</f>
        <v/>
      </c>
      <c r="I15" s="5">
        <f>IF(A15="","",IF(IFERROR(XLOOKUP(A15,tblAccounts[Account_ID],tblAccounts[Include],FALSE),FALSE),SUMIFS(tblAcctSummary[Income_Other_Base],tblAcctSummary[Account_ID],A15),0))</f>
        <v/>
      </c>
      <c r="J15" s="5">
        <f>IF(A15="","",SUM(G15:I15))</f>
        <v/>
      </c>
      <c r="K15" s="5">
        <f>IF(A15="","",IF(IFERROR(XLOOKUP(A15,tblAccounts[Account_ID],tblAccounts[Include],FALSE),FALSE),SUMIFS(tblAcctSummary[Realized_GL_Base],tblAcctSummary[Account_ID],A15),0))</f>
        <v/>
      </c>
      <c r="L15" s="5">
        <f>IF(A15="","",IF(IFERROR(XLOOKUP(A15,tblAccounts[Account_ID],tblAccounts[Include],FALSE),FALSE),SUMIFS(tblAcctSummary[Fees_Base],tblAcctSummary[Account_ID],A15),0))</f>
        <v/>
      </c>
      <c r="M15" s="5">
        <f>IF(A15="","",IF(IFERROR(XLOOKUP(A15,tblAccounts[Account_ID],tblAccounts[Include],FALSE),FALSE),SUMIFS(tblAcctSummary[Taxes_Base],tblAcctSummary[Account_ID],A15),0))</f>
        <v/>
      </c>
      <c r="N15" s="5">
        <f>IF(A15="","",IF(IFERROR(XLOOKUP(A15,tblAccounts[Account_ID],tblAccounts[Include],FALSE),FALSE),IFERROR(SUMPRODUCT(tblAcctSummary[Return_Period],tblAcctSummary[Begin_Balance_Base],--(tblAcctSummary[Account_ID]=A15))/IF(SUMIFS(tblAcctSummary[Begin_Balance_Base],tblAcctSummary[Account_ID],A15)=0,NA(),SUMIFS(tblAcctSummary[Begin_Balance_Base],tblAcctSummary[Account_ID],A15)),0),0))</f>
        <v/>
      </c>
    </row>
    <row r="16">
      <c r="A16" s="5">
        <f>IFERROR(INDEX(tblAccounts[Account_ID],13),"")</f>
        <v/>
      </c>
      <c r="B16" s="5">
        <f>IF(A16="","",IFERROR(XLOOKUP(A16,tblAccounts[Account_ID],tblAccounts[Account_Name],""),""))</f>
        <v/>
      </c>
      <c r="C16" s="5">
        <f>IF(A16="","",IFERROR(XLOOKUP(A16,tblAccounts[Account_ID],tblAccounts[Household_ID],""),""))</f>
        <v/>
      </c>
      <c r="D16" s="5">
        <f>IF(A16="","",IF(IFERROR(XLOOKUP(A16,tblAccounts[Account_ID],tblAccounts[Include],FALSE),FALSE),SUMIFS(tblAcctSummary[Begin_Balance_Base],tblAcctSummary[Account_ID],A16),0))</f>
        <v/>
      </c>
      <c r="E16" s="5">
        <f>IF(A16="","",IF(IFERROR(XLOOKUP(A16,tblAccounts[Account_ID],tblAccounts[Include],FALSE),FALSE),SUMIFS(tblAcctSummary[End_Balance_Base],tblAcctSummary[Account_ID],A16),0))</f>
        <v/>
      </c>
      <c r="F16" s="5">
        <f>IF(A16="","",IF(IFERROR(XLOOKUP(A16,tblAccounts[Account_ID],tblAccounts[Include],FALSE),FALSE),SUMIFS(tblAcctSummary[Net_Contrib_Base],tblAcctSummary[Account_ID],A16),0))</f>
        <v/>
      </c>
      <c r="G16" s="5">
        <f>IF(A16="","",IF(IFERROR(XLOOKUP(A16,tblAccounts[Account_ID],tblAccounts[Include],FALSE),FALSE),SUMIFS(tblAcctSummary[Income_Interest_Base],tblAcctSummary[Account_ID],A16),0))</f>
        <v/>
      </c>
      <c r="H16" s="5">
        <f>IF(A16="","",IF(IFERROR(XLOOKUP(A16,tblAccounts[Account_ID],tblAccounts[Include],FALSE),FALSE),SUMIFS(tblAcctSummary[Income_Dividends_Base],tblAcctSummary[Account_ID],A16),0))</f>
        <v/>
      </c>
      <c r="I16" s="5">
        <f>IF(A16="","",IF(IFERROR(XLOOKUP(A16,tblAccounts[Account_ID],tblAccounts[Include],FALSE),FALSE),SUMIFS(tblAcctSummary[Income_Other_Base],tblAcctSummary[Account_ID],A16),0))</f>
        <v/>
      </c>
      <c r="J16" s="5">
        <f>IF(A16="","",SUM(G16:I16))</f>
        <v/>
      </c>
      <c r="K16" s="5">
        <f>IF(A16="","",IF(IFERROR(XLOOKUP(A16,tblAccounts[Account_ID],tblAccounts[Include],FALSE),FALSE),SUMIFS(tblAcctSummary[Realized_GL_Base],tblAcctSummary[Account_ID],A16),0))</f>
        <v/>
      </c>
      <c r="L16" s="5">
        <f>IF(A16="","",IF(IFERROR(XLOOKUP(A16,tblAccounts[Account_ID],tblAccounts[Include],FALSE),FALSE),SUMIFS(tblAcctSummary[Fees_Base],tblAcctSummary[Account_ID],A16),0))</f>
        <v/>
      </c>
      <c r="M16" s="5">
        <f>IF(A16="","",IF(IFERROR(XLOOKUP(A16,tblAccounts[Account_ID],tblAccounts[Include],FALSE),FALSE),SUMIFS(tblAcctSummary[Taxes_Base],tblAcctSummary[Account_ID],A16),0))</f>
        <v/>
      </c>
      <c r="N16" s="5">
        <f>IF(A16="","",IF(IFERROR(XLOOKUP(A16,tblAccounts[Account_ID],tblAccounts[Include],FALSE),FALSE),IFERROR(SUMPRODUCT(tblAcctSummary[Return_Period],tblAcctSummary[Begin_Balance_Base],--(tblAcctSummary[Account_ID]=A16))/IF(SUMIFS(tblAcctSummary[Begin_Balance_Base],tblAcctSummary[Account_ID],A16)=0,NA(),SUMIFS(tblAcctSummary[Begin_Balance_Base],tblAcctSummary[Account_ID],A16)),0),0))</f>
        <v/>
      </c>
    </row>
    <row r="17">
      <c r="A17" s="5">
        <f>IFERROR(INDEX(tblAccounts[Account_ID],14),"")</f>
        <v/>
      </c>
      <c r="B17" s="5">
        <f>IF(A17="","",IFERROR(XLOOKUP(A17,tblAccounts[Account_ID],tblAccounts[Account_Name],""),""))</f>
        <v/>
      </c>
      <c r="C17" s="5">
        <f>IF(A17="","",IFERROR(XLOOKUP(A17,tblAccounts[Account_ID],tblAccounts[Household_ID],""),""))</f>
        <v/>
      </c>
      <c r="D17" s="5">
        <f>IF(A17="","",IF(IFERROR(XLOOKUP(A17,tblAccounts[Account_ID],tblAccounts[Include],FALSE),FALSE),SUMIFS(tblAcctSummary[Begin_Balance_Base],tblAcctSummary[Account_ID],A17),0))</f>
        <v/>
      </c>
      <c r="E17" s="5">
        <f>IF(A17="","",IF(IFERROR(XLOOKUP(A17,tblAccounts[Account_ID],tblAccounts[Include],FALSE),FALSE),SUMIFS(tblAcctSummary[End_Balance_Base],tblAcctSummary[Account_ID],A17),0))</f>
        <v/>
      </c>
      <c r="F17" s="5">
        <f>IF(A17="","",IF(IFERROR(XLOOKUP(A17,tblAccounts[Account_ID],tblAccounts[Include],FALSE),FALSE),SUMIFS(tblAcctSummary[Net_Contrib_Base],tblAcctSummary[Account_ID],A17),0))</f>
        <v/>
      </c>
      <c r="G17" s="5">
        <f>IF(A17="","",IF(IFERROR(XLOOKUP(A17,tblAccounts[Account_ID],tblAccounts[Include],FALSE),FALSE),SUMIFS(tblAcctSummary[Income_Interest_Base],tblAcctSummary[Account_ID],A17),0))</f>
        <v/>
      </c>
      <c r="H17" s="5">
        <f>IF(A17="","",IF(IFERROR(XLOOKUP(A17,tblAccounts[Account_ID],tblAccounts[Include],FALSE),FALSE),SUMIFS(tblAcctSummary[Income_Dividends_Base],tblAcctSummary[Account_ID],A17),0))</f>
        <v/>
      </c>
      <c r="I17" s="5">
        <f>IF(A17="","",IF(IFERROR(XLOOKUP(A17,tblAccounts[Account_ID],tblAccounts[Include],FALSE),FALSE),SUMIFS(tblAcctSummary[Income_Other_Base],tblAcctSummary[Account_ID],A17),0))</f>
        <v/>
      </c>
      <c r="J17" s="5">
        <f>IF(A17="","",SUM(G17:I17))</f>
        <v/>
      </c>
      <c r="K17" s="5">
        <f>IF(A17="","",IF(IFERROR(XLOOKUP(A17,tblAccounts[Account_ID],tblAccounts[Include],FALSE),FALSE),SUMIFS(tblAcctSummary[Realized_GL_Base],tblAcctSummary[Account_ID],A17),0))</f>
        <v/>
      </c>
      <c r="L17" s="5">
        <f>IF(A17="","",IF(IFERROR(XLOOKUP(A17,tblAccounts[Account_ID],tblAccounts[Include],FALSE),FALSE),SUMIFS(tblAcctSummary[Fees_Base],tblAcctSummary[Account_ID],A17),0))</f>
        <v/>
      </c>
      <c r="M17" s="5">
        <f>IF(A17="","",IF(IFERROR(XLOOKUP(A17,tblAccounts[Account_ID],tblAccounts[Include],FALSE),FALSE),SUMIFS(tblAcctSummary[Taxes_Base],tblAcctSummary[Account_ID],A17),0))</f>
        <v/>
      </c>
      <c r="N17" s="5">
        <f>IF(A17="","",IF(IFERROR(XLOOKUP(A17,tblAccounts[Account_ID],tblAccounts[Include],FALSE),FALSE),IFERROR(SUMPRODUCT(tblAcctSummary[Return_Period],tblAcctSummary[Begin_Balance_Base],--(tblAcctSummary[Account_ID]=A17))/IF(SUMIFS(tblAcctSummary[Begin_Balance_Base],tblAcctSummary[Account_ID],A17)=0,NA(),SUMIFS(tblAcctSummary[Begin_Balance_Base],tblAcctSummary[Account_ID],A17)),0),0))</f>
        <v/>
      </c>
    </row>
    <row r="18">
      <c r="A18" s="5">
        <f>IFERROR(INDEX(tblAccounts[Account_ID],15),"")</f>
        <v/>
      </c>
      <c r="B18" s="5">
        <f>IF(A18="","",IFERROR(XLOOKUP(A18,tblAccounts[Account_ID],tblAccounts[Account_Name],""),""))</f>
        <v/>
      </c>
      <c r="C18" s="5">
        <f>IF(A18="","",IFERROR(XLOOKUP(A18,tblAccounts[Account_ID],tblAccounts[Household_ID],""),""))</f>
        <v/>
      </c>
      <c r="D18" s="5">
        <f>IF(A18="","",IF(IFERROR(XLOOKUP(A18,tblAccounts[Account_ID],tblAccounts[Include],FALSE),FALSE),SUMIFS(tblAcctSummary[Begin_Balance_Base],tblAcctSummary[Account_ID],A18),0))</f>
        <v/>
      </c>
      <c r="E18" s="5">
        <f>IF(A18="","",IF(IFERROR(XLOOKUP(A18,tblAccounts[Account_ID],tblAccounts[Include],FALSE),FALSE),SUMIFS(tblAcctSummary[End_Balance_Base],tblAcctSummary[Account_ID],A18),0))</f>
        <v/>
      </c>
      <c r="F18" s="5">
        <f>IF(A18="","",IF(IFERROR(XLOOKUP(A18,tblAccounts[Account_ID],tblAccounts[Include],FALSE),FALSE),SUMIFS(tblAcctSummary[Net_Contrib_Base],tblAcctSummary[Account_ID],A18),0))</f>
        <v/>
      </c>
      <c r="G18" s="5">
        <f>IF(A18="","",IF(IFERROR(XLOOKUP(A18,tblAccounts[Account_ID],tblAccounts[Include],FALSE),FALSE),SUMIFS(tblAcctSummary[Income_Interest_Base],tblAcctSummary[Account_ID],A18),0))</f>
        <v/>
      </c>
      <c r="H18" s="5">
        <f>IF(A18="","",IF(IFERROR(XLOOKUP(A18,tblAccounts[Account_ID],tblAccounts[Include],FALSE),FALSE),SUMIFS(tblAcctSummary[Income_Dividends_Base],tblAcctSummary[Account_ID],A18),0))</f>
        <v/>
      </c>
      <c r="I18" s="5">
        <f>IF(A18="","",IF(IFERROR(XLOOKUP(A18,tblAccounts[Account_ID],tblAccounts[Include],FALSE),FALSE),SUMIFS(tblAcctSummary[Income_Other_Base],tblAcctSummary[Account_ID],A18),0))</f>
        <v/>
      </c>
      <c r="J18" s="5">
        <f>IF(A18="","",SUM(G18:I18))</f>
        <v/>
      </c>
      <c r="K18" s="5">
        <f>IF(A18="","",IF(IFERROR(XLOOKUP(A18,tblAccounts[Account_ID],tblAccounts[Include],FALSE),FALSE),SUMIFS(tblAcctSummary[Realized_GL_Base],tblAcctSummary[Account_ID],A18),0))</f>
        <v/>
      </c>
      <c r="L18" s="5">
        <f>IF(A18="","",IF(IFERROR(XLOOKUP(A18,tblAccounts[Account_ID],tblAccounts[Include],FALSE),FALSE),SUMIFS(tblAcctSummary[Fees_Base],tblAcctSummary[Account_ID],A18),0))</f>
        <v/>
      </c>
      <c r="M18" s="5">
        <f>IF(A18="","",IF(IFERROR(XLOOKUP(A18,tblAccounts[Account_ID],tblAccounts[Include],FALSE),FALSE),SUMIFS(tblAcctSummary[Taxes_Base],tblAcctSummary[Account_ID],A18),0))</f>
        <v/>
      </c>
      <c r="N18" s="5">
        <f>IF(A18="","",IF(IFERROR(XLOOKUP(A18,tblAccounts[Account_ID],tblAccounts[Include],FALSE),FALSE),IFERROR(SUMPRODUCT(tblAcctSummary[Return_Period],tblAcctSummary[Begin_Balance_Base],--(tblAcctSummary[Account_ID]=A18))/IF(SUMIFS(tblAcctSummary[Begin_Balance_Base],tblAcctSummary[Account_ID],A18)=0,NA(),SUMIFS(tblAcctSummary[Begin_Balance_Base],tblAcctSummary[Account_ID],A18)),0),0))</f>
        <v/>
      </c>
    </row>
    <row r="19">
      <c r="A19" s="5">
        <f>IFERROR(INDEX(tblAccounts[Account_ID],16),"")</f>
        <v/>
      </c>
      <c r="B19" s="5">
        <f>IF(A19="","",IFERROR(XLOOKUP(A19,tblAccounts[Account_ID],tblAccounts[Account_Name],""),""))</f>
        <v/>
      </c>
      <c r="C19" s="5">
        <f>IF(A19="","",IFERROR(XLOOKUP(A19,tblAccounts[Account_ID],tblAccounts[Household_ID],""),""))</f>
        <v/>
      </c>
      <c r="D19" s="5">
        <f>IF(A19="","",IF(IFERROR(XLOOKUP(A19,tblAccounts[Account_ID],tblAccounts[Include],FALSE),FALSE),SUMIFS(tblAcctSummary[Begin_Balance_Base],tblAcctSummary[Account_ID],A19),0))</f>
        <v/>
      </c>
      <c r="E19" s="5">
        <f>IF(A19="","",IF(IFERROR(XLOOKUP(A19,tblAccounts[Account_ID],tblAccounts[Include],FALSE),FALSE),SUMIFS(tblAcctSummary[End_Balance_Base],tblAcctSummary[Account_ID],A19),0))</f>
        <v/>
      </c>
      <c r="F19" s="5">
        <f>IF(A19="","",IF(IFERROR(XLOOKUP(A19,tblAccounts[Account_ID],tblAccounts[Include],FALSE),FALSE),SUMIFS(tblAcctSummary[Net_Contrib_Base],tblAcctSummary[Account_ID],A19),0))</f>
        <v/>
      </c>
      <c r="G19" s="5">
        <f>IF(A19="","",IF(IFERROR(XLOOKUP(A19,tblAccounts[Account_ID],tblAccounts[Include],FALSE),FALSE),SUMIFS(tblAcctSummary[Income_Interest_Base],tblAcctSummary[Account_ID],A19),0))</f>
        <v/>
      </c>
      <c r="H19" s="5">
        <f>IF(A19="","",IF(IFERROR(XLOOKUP(A19,tblAccounts[Account_ID],tblAccounts[Include],FALSE),FALSE),SUMIFS(tblAcctSummary[Income_Dividends_Base],tblAcctSummary[Account_ID],A19),0))</f>
        <v/>
      </c>
      <c r="I19" s="5">
        <f>IF(A19="","",IF(IFERROR(XLOOKUP(A19,tblAccounts[Account_ID],tblAccounts[Include],FALSE),FALSE),SUMIFS(tblAcctSummary[Income_Other_Base],tblAcctSummary[Account_ID],A19),0))</f>
        <v/>
      </c>
      <c r="J19" s="5">
        <f>IF(A19="","",SUM(G19:I19))</f>
        <v/>
      </c>
      <c r="K19" s="5">
        <f>IF(A19="","",IF(IFERROR(XLOOKUP(A19,tblAccounts[Account_ID],tblAccounts[Include],FALSE),FALSE),SUMIFS(tblAcctSummary[Realized_GL_Base],tblAcctSummary[Account_ID],A19),0))</f>
        <v/>
      </c>
      <c r="L19" s="5">
        <f>IF(A19="","",IF(IFERROR(XLOOKUP(A19,tblAccounts[Account_ID],tblAccounts[Include],FALSE),FALSE),SUMIFS(tblAcctSummary[Fees_Base],tblAcctSummary[Account_ID],A19),0))</f>
        <v/>
      </c>
      <c r="M19" s="5">
        <f>IF(A19="","",IF(IFERROR(XLOOKUP(A19,tblAccounts[Account_ID],tblAccounts[Include],FALSE),FALSE),SUMIFS(tblAcctSummary[Taxes_Base],tblAcctSummary[Account_ID],A19),0))</f>
        <v/>
      </c>
      <c r="N19" s="5">
        <f>IF(A19="","",IF(IFERROR(XLOOKUP(A19,tblAccounts[Account_ID],tblAccounts[Include],FALSE),FALSE),IFERROR(SUMPRODUCT(tblAcctSummary[Return_Period],tblAcctSummary[Begin_Balance_Base],--(tblAcctSummary[Account_ID]=A19))/IF(SUMIFS(tblAcctSummary[Begin_Balance_Base],tblAcctSummary[Account_ID],A19)=0,NA(),SUMIFS(tblAcctSummary[Begin_Balance_Base],tblAcctSummary[Account_ID],A19)),0),0))</f>
        <v/>
      </c>
    </row>
    <row r="20">
      <c r="A20" s="5">
        <f>IFERROR(INDEX(tblAccounts[Account_ID],17),"")</f>
        <v/>
      </c>
      <c r="B20" s="5">
        <f>IF(A20="","",IFERROR(XLOOKUP(A20,tblAccounts[Account_ID],tblAccounts[Account_Name],""),""))</f>
        <v/>
      </c>
      <c r="C20" s="5">
        <f>IF(A20="","",IFERROR(XLOOKUP(A20,tblAccounts[Account_ID],tblAccounts[Household_ID],""),""))</f>
        <v/>
      </c>
      <c r="D20" s="5">
        <f>IF(A20="","",IF(IFERROR(XLOOKUP(A20,tblAccounts[Account_ID],tblAccounts[Include],FALSE),FALSE),SUMIFS(tblAcctSummary[Begin_Balance_Base],tblAcctSummary[Account_ID],A20),0))</f>
        <v/>
      </c>
      <c r="E20" s="5">
        <f>IF(A20="","",IF(IFERROR(XLOOKUP(A20,tblAccounts[Account_ID],tblAccounts[Include],FALSE),FALSE),SUMIFS(tblAcctSummary[End_Balance_Base],tblAcctSummary[Account_ID],A20),0))</f>
        <v/>
      </c>
      <c r="F20" s="5">
        <f>IF(A20="","",IF(IFERROR(XLOOKUP(A20,tblAccounts[Account_ID],tblAccounts[Include],FALSE),FALSE),SUMIFS(tblAcctSummary[Net_Contrib_Base],tblAcctSummary[Account_ID],A20),0))</f>
        <v/>
      </c>
      <c r="G20" s="5">
        <f>IF(A20="","",IF(IFERROR(XLOOKUP(A20,tblAccounts[Account_ID],tblAccounts[Include],FALSE),FALSE),SUMIFS(tblAcctSummary[Income_Interest_Base],tblAcctSummary[Account_ID],A20),0))</f>
        <v/>
      </c>
      <c r="H20" s="5">
        <f>IF(A20="","",IF(IFERROR(XLOOKUP(A20,tblAccounts[Account_ID],tblAccounts[Include],FALSE),FALSE),SUMIFS(tblAcctSummary[Income_Dividends_Base],tblAcctSummary[Account_ID],A20),0))</f>
        <v/>
      </c>
      <c r="I20" s="5">
        <f>IF(A20="","",IF(IFERROR(XLOOKUP(A20,tblAccounts[Account_ID],tblAccounts[Include],FALSE),FALSE),SUMIFS(tblAcctSummary[Income_Other_Base],tblAcctSummary[Account_ID],A20),0))</f>
        <v/>
      </c>
      <c r="J20" s="5">
        <f>IF(A20="","",SUM(G20:I20))</f>
        <v/>
      </c>
      <c r="K20" s="5">
        <f>IF(A20="","",IF(IFERROR(XLOOKUP(A20,tblAccounts[Account_ID],tblAccounts[Include],FALSE),FALSE),SUMIFS(tblAcctSummary[Realized_GL_Base],tblAcctSummary[Account_ID],A20),0))</f>
        <v/>
      </c>
      <c r="L20" s="5">
        <f>IF(A20="","",IF(IFERROR(XLOOKUP(A20,tblAccounts[Account_ID],tblAccounts[Include],FALSE),FALSE),SUMIFS(tblAcctSummary[Fees_Base],tblAcctSummary[Account_ID],A20),0))</f>
        <v/>
      </c>
      <c r="M20" s="5">
        <f>IF(A20="","",IF(IFERROR(XLOOKUP(A20,tblAccounts[Account_ID],tblAccounts[Include],FALSE),FALSE),SUMIFS(tblAcctSummary[Taxes_Base],tblAcctSummary[Account_ID],A20),0))</f>
        <v/>
      </c>
      <c r="N20" s="5">
        <f>IF(A20="","",IF(IFERROR(XLOOKUP(A20,tblAccounts[Account_ID],tblAccounts[Include],FALSE),FALSE),IFERROR(SUMPRODUCT(tblAcctSummary[Return_Period],tblAcctSummary[Begin_Balance_Base],--(tblAcctSummary[Account_ID]=A20))/IF(SUMIFS(tblAcctSummary[Begin_Balance_Base],tblAcctSummary[Account_ID],A20)=0,NA(),SUMIFS(tblAcctSummary[Begin_Balance_Base],tblAcctSummary[Account_ID],A20)),0),0))</f>
        <v/>
      </c>
    </row>
    <row r="21">
      <c r="A21" s="5">
        <f>IFERROR(INDEX(tblAccounts[Account_ID],18),"")</f>
        <v/>
      </c>
      <c r="B21" s="5">
        <f>IF(A21="","",IFERROR(XLOOKUP(A21,tblAccounts[Account_ID],tblAccounts[Account_Name],""),""))</f>
        <v/>
      </c>
      <c r="C21" s="5">
        <f>IF(A21="","",IFERROR(XLOOKUP(A21,tblAccounts[Account_ID],tblAccounts[Household_ID],""),""))</f>
        <v/>
      </c>
      <c r="D21" s="5">
        <f>IF(A21="","",IF(IFERROR(XLOOKUP(A21,tblAccounts[Account_ID],tblAccounts[Include],FALSE),FALSE),SUMIFS(tblAcctSummary[Begin_Balance_Base],tblAcctSummary[Account_ID],A21),0))</f>
        <v/>
      </c>
      <c r="E21" s="5">
        <f>IF(A21="","",IF(IFERROR(XLOOKUP(A21,tblAccounts[Account_ID],tblAccounts[Include],FALSE),FALSE),SUMIFS(tblAcctSummary[End_Balance_Base],tblAcctSummary[Account_ID],A21),0))</f>
        <v/>
      </c>
      <c r="F21" s="5">
        <f>IF(A21="","",IF(IFERROR(XLOOKUP(A21,tblAccounts[Account_ID],tblAccounts[Include],FALSE),FALSE),SUMIFS(tblAcctSummary[Net_Contrib_Base],tblAcctSummary[Account_ID],A21),0))</f>
        <v/>
      </c>
      <c r="G21" s="5">
        <f>IF(A21="","",IF(IFERROR(XLOOKUP(A21,tblAccounts[Account_ID],tblAccounts[Include],FALSE),FALSE),SUMIFS(tblAcctSummary[Income_Interest_Base],tblAcctSummary[Account_ID],A21),0))</f>
        <v/>
      </c>
      <c r="H21" s="5">
        <f>IF(A21="","",IF(IFERROR(XLOOKUP(A21,tblAccounts[Account_ID],tblAccounts[Include],FALSE),FALSE),SUMIFS(tblAcctSummary[Income_Dividends_Base],tblAcctSummary[Account_ID],A21),0))</f>
        <v/>
      </c>
      <c r="I21" s="5">
        <f>IF(A21="","",IF(IFERROR(XLOOKUP(A21,tblAccounts[Account_ID],tblAccounts[Include],FALSE),FALSE),SUMIFS(tblAcctSummary[Income_Other_Base],tblAcctSummary[Account_ID],A21),0))</f>
        <v/>
      </c>
      <c r="J21" s="5">
        <f>IF(A21="","",SUM(G21:I21))</f>
        <v/>
      </c>
      <c r="K21" s="5">
        <f>IF(A21="","",IF(IFERROR(XLOOKUP(A21,tblAccounts[Account_ID],tblAccounts[Include],FALSE),FALSE),SUMIFS(tblAcctSummary[Realized_GL_Base],tblAcctSummary[Account_ID],A21),0))</f>
        <v/>
      </c>
      <c r="L21" s="5">
        <f>IF(A21="","",IF(IFERROR(XLOOKUP(A21,tblAccounts[Account_ID],tblAccounts[Include],FALSE),FALSE),SUMIFS(tblAcctSummary[Fees_Base],tblAcctSummary[Account_ID],A21),0))</f>
        <v/>
      </c>
      <c r="M21" s="5">
        <f>IF(A21="","",IF(IFERROR(XLOOKUP(A21,tblAccounts[Account_ID],tblAccounts[Include],FALSE),FALSE),SUMIFS(tblAcctSummary[Taxes_Base],tblAcctSummary[Account_ID],A21),0))</f>
        <v/>
      </c>
      <c r="N21" s="5">
        <f>IF(A21="","",IF(IFERROR(XLOOKUP(A21,tblAccounts[Account_ID],tblAccounts[Include],FALSE),FALSE),IFERROR(SUMPRODUCT(tblAcctSummary[Return_Period],tblAcctSummary[Begin_Balance_Base],--(tblAcctSummary[Account_ID]=A21))/IF(SUMIFS(tblAcctSummary[Begin_Balance_Base],tblAcctSummary[Account_ID],A21)=0,NA(),SUMIFS(tblAcctSummary[Begin_Balance_Base],tblAcctSummary[Account_ID],A21)),0),0))</f>
        <v/>
      </c>
    </row>
    <row r="22">
      <c r="A22" s="5">
        <f>IFERROR(INDEX(tblAccounts[Account_ID],19),"")</f>
        <v/>
      </c>
      <c r="B22" s="5">
        <f>IF(A22="","",IFERROR(XLOOKUP(A22,tblAccounts[Account_ID],tblAccounts[Account_Name],""),""))</f>
        <v/>
      </c>
      <c r="C22" s="5">
        <f>IF(A22="","",IFERROR(XLOOKUP(A22,tblAccounts[Account_ID],tblAccounts[Household_ID],""),""))</f>
        <v/>
      </c>
      <c r="D22" s="5">
        <f>IF(A22="","",IF(IFERROR(XLOOKUP(A22,tblAccounts[Account_ID],tblAccounts[Include],FALSE),FALSE),SUMIFS(tblAcctSummary[Begin_Balance_Base],tblAcctSummary[Account_ID],A22),0))</f>
        <v/>
      </c>
      <c r="E22" s="5">
        <f>IF(A22="","",IF(IFERROR(XLOOKUP(A22,tblAccounts[Account_ID],tblAccounts[Include],FALSE),FALSE),SUMIFS(tblAcctSummary[End_Balance_Base],tblAcctSummary[Account_ID],A22),0))</f>
        <v/>
      </c>
      <c r="F22" s="5">
        <f>IF(A22="","",IF(IFERROR(XLOOKUP(A22,tblAccounts[Account_ID],tblAccounts[Include],FALSE),FALSE),SUMIFS(tblAcctSummary[Net_Contrib_Base],tblAcctSummary[Account_ID],A22),0))</f>
        <v/>
      </c>
      <c r="G22" s="5">
        <f>IF(A22="","",IF(IFERROR(XLOOKUP(A22,tblAccounts[Account_ID],tblAccounts[Include],FALSE),FALSE),SUMIFS(tblAcctSummary[Income_Interest_Base],tblAcctSummary[Account_ID],A22),0))</f>
        <v/>
      </c>
      <c r="H22" s="5">
        <f>IF(A22="","",IF(IFERROR(XLOOKUP(A22,tblAccounts[Account_ID],tblAccounts[Include],FALSE),FALSE),SUMIFS(tblAcctSummary[Income_Dividends_Base],tblAcctSummary[Account_ID],A22),0))</f>
        <v/>
      </c>
      <c r="I22" s="5">
        <f>IF(A22="","",IF(IFERROR(XLOOKUP(A22,tblAccounts[Account_ID],tblAccounts[Include],FALSE),FALSE),SUMIFS(tblAcctSummary[Income_Other_Base],tblAcctSummary[Account_ID],A22),0))</f>
        <v/>
      </c>
      <c r="J22" s="5">
        <f>IF(A22="","",SUM(G22:I22))</f>
        <v/>
      </c>
      <c r="K22" s="5">
        <f>IF(A22="","",IF(IFERROR(XLOOKUP(A22,tblAccounts[Account_ID],tblAccounts[Include],FALSE),FALSE),SUMIFS(tblAcctSummary[Realized_GL_Base],tblAcctSummary[Account_ID],A22),0))</f>
        <v/>
      </c>
      <c r="L22" s="5">
        <f>IF(A22="","",IF(IFERROR(XLOOKUP(A22,tblAccounts[Account_ID],tblAccounts[Include],FALSE),FALSE),SUMIFS(tblAcctSummary[Fees_Base],tblAcctSummary[Account_ID],A22),0))</f>
        <v/>
      </c>
      <c r="M22" s="5">
        <f>IF(A22="","",IF(IFERROR(XLOOKUP(A22,tblAccounts[Account_ID],tblAccounts[Include],FALSE),FALSE),SUMIFS(tblAcctSummary[Taxes_Base],tblAcctSummary[Account_ID],A22),0))</f>
        <v/>
      </c>
      <c r="N22" s="5">
        <f>IF(A22="","",IF(IFERROR(XLOOKUP(A22,tblAccounts[Account_ID],tblAccounts[Include],FALSE),FALSE),IFERROR(SUMPRODUCT(tblAcctSummary[Return_Period],tblAcctSummary[Begin_Balance_Base],--(tblAcctSummary[Account_ID]=A22))/IF(SUMIFS(tblAcctSummary[Begin_Balance_Base],tblAcctSummary[Account_ID],A22)=0,NA(),SUMIFS(tblAcctSummary[Begin_Balance_Base],tblAcctSummary[Account_ID],A22)),0),0))</f>
        <v/>
      </c>
    </row>
    <row r="23">
      <c r="A23" s="5">
        <f>IFERROR(INDEX(tblAccounts[Account_ID],20),"")</f>
        <v/>
      </c>
      <c r="B23" s="5">
        <f>IF(A23="","",IFERROR(XLOOKUP(A23,tblAccounts[Account_ID],tblAccounts[Account_Name],""),""))</f>
        <v/>
      </c>
      <c r="C23" s="5">
        <f>IF(A23="","",IFERROR(XLOOKUP(A23,tblAccounts[Account_ID],tblAccounts[Household_ID],""),""))</f>
        <v/>
      </c>
      <c r="D23" s="5">
        <f>IF(A23="","",IF(IFERROR(XLOOKUP(A23,tblAccounts[Account_ID],tblAccounts[Include],FALSE),FALSE),SUMIFS(tblAcctSummary[Begin_Balance_Base],tblAcctSummary[Account_ID],A23),0))</f>
        <v/>
      </c>
      <c r="E23" s="5">
        <f>IF(A23="","",IF(IFERROR(XLOOKUP(A23,tblAccounts[Account_ID],tblAccounts[Include],FALSE),FALSE),SUMIFS(tblAcctSummary[End_Balance_Base],tblAcctSummary[Account_ID],A23),0))</f>
        <v/>
      </c>
      <c r="F23" s="5">
        <f>IF(A23="","",IF(IFERROR(XLOOKUP(A23,tblAccounts[Account_ID],tblAccounts[Include],FALSE),FALSE),SUMIFS(tblAcctSummary[Net_Contrib_Base],tblAcctSummary[Account_ID],A23),0))</f>
        <v/>
      </c>
      <c r="G23" s="5">
        <f>IF(A23="","",IF(IFERROR(XLOOKUP(A23,tblAccounts[Account_ID],tblAccounts[Include],FALSE),FALSE),SUMIFS(tblAcctSummary[Income_Interest_Base],tblAcctSummary[Account_ID],A23),0))</f>
        <v/>
      </c>
      <c r="H23" s="5">
        <f>IF(A23="","",IF(IFERROR(XLOOKUP(A23,tblAccounts[Account_ID],tblAccounts[Include],FALSE),FALSE),SUMIFS(tblAcctSummary[Income_Dividends_Base],tblAcctSummary[Account_ID],A23),0))</f>
        <v/>
      </c>
      <c r="I23" s="5">
        <f>IF(A23="","",IF(IFERROR(XLOOKUP(A23,tblAccounts[Account_ID],tblAccounts[Include],FALSE),FALSE),SUMIFS(tblAcctSummary[Income_Other_Base],tblAcctSummary[Account_ID],A23),0))</f>
        <v/>
      </c>
      <c r="J23" s="5">
        <f>IF(A23="","",SUM(G23:I23))</f>
        <v/>
      </c>
      <c r="K23" s="5">
        <f>IF(A23="","",IF(IFERROR(XLOOKUP(A23,tblAccounts[Account_ID],tblAccounts[Include],FALSE),FALSE),SUMIFS(tblAcctSummary[Realized_GL_Base],tblAcctSummary[Account_ID],A23),0))</f>
        <v/>
      </c>
      <c r="L23" s="5">
        <f>IF(A23="","",IF(IFERROR(XLOOKUP(A23,tblAccounts[Account_ID],tblAccounts[Include],FALSE),FALSE),SUMIFS(tblAcctSummary[Fees_Base],tblAcctSummary[Account_ID],A23),0))</f>
        <v/>
      </c>
      <c r="M23" s="5">
        <f>IF(A23="","",IF(IFERROR(XLOOKUP(A23,tblAccounts[Account_ID],tblAccounts[Include],FALSE),FALSE),SUMIFS(tblAcctSummary[Taxes_Base],tblAcctSummary[Account_ID],A23),0))</f>
        <v/>
      </c>
      <c r="N23" s="5">
        <f>IF(A23="","",IF(IFERROR(XLOOKUP(A23,tblAccounts[Account_ID],tblAccounts[Include],FALSE),FALSE),IFERROR(SUMPRODUCT(tblAcctSummary[Return_Period],tblAcctSummary[Begin_Balance_Base],--(tblAcctSummary[Account_ID]=A23))/IF(SUMIFS(tblAcctSummary[Begin_Balance_Base],tblAcctSummary[Account_ID],A23)=0,NA(),SUMIFS(tblAcctSummary[Begin_Balance_Base],tblAcctSummary[Account_ID],A23)),0),0))</f>
        <v/>
      </c>
    </row>
    <row r="24">
      <c r="A24" s="5">
        <f>IFERROR(INDEX(tblAccounts[Account_ID],21),"")</f>
        <v/>
      </c>
      <c r="B24" s="5">
        <f>IF(A24="","",IFERROR(XLOOKUP(A24,tblAccounts[Account_ID],tblAccounts[Account_Name],""),""))</f>
        <v/>
      </c>
      <c r="C24" s="5">
        <f>IF(A24="","",IFERROR(XLOOKUP(A24,tblAccounts[Account_ID],tblAccounts[Household_ID],""),""))</f>
        <v/>
      </c>
      <c r="D24" s="5">
        <f>IF(A24="","",IF(IFERROR(XLOOKUP(A24,tblAccounts[Account_ID],tblAccounts[Include],FALSE),FALSE),SUMIFS(tblAcctSummary[Begin_Balance_Base],tblAcctSummary[Account_ID],A24),0))</f>
        <v/>
      </c>
      <c r="E24" s="5">
        <f>IF(A24="","",IF(IFERROR(XLOOKUP(A24,tblAccounts[Account_ID],tblAccounts[Include],FALSE),FALSE),SUMIFS(tblAcctSummary[End_Balance_Base],tblAcctSummary[Account_ID],A24),0))</f>
        <v/>
      </c>
      <c r="F24" s="5">
        <f>IF(A24="","",IF(IFERROR(XLOOKUP(A24,tblAccounts[Account_ID],tblAccounts[Include],FALSE),FALSE),SUMIFS(tblAcctSummary[Net_Contrib_Base],tblAcctSummary[Account_ID],A24),0))</f>
        <v/>
      </c>
      <c r="G24" s="5">
        <f>IF(A24="","",IF(IFERROR(XLOOKUP(A24,tblAccounts[Account_ID],tblAccounts[Include],FALSE),FALSE),SUMIFS(tblAcctSummary[Income_Interest_Base],tblAcctSummary[Account_ID],A24),0))</f>
        <v/>
      </c>
      <c r="H24" s="5">
        <f>IF(A24="","",IF(IFERROR(XLOOKUP(A24,tblAccounts[Account_ID],tblAccounts[Include],FALSE),FALSE),SUMIFS(tblAcctSummary[Income_Dividends_Base],tblAcctSummary[Account_ID],A24),0))</f>
        <v/>
      </c>
      <c r="I24" s="5">
        <f>IF(A24="","",IF(IFERROR(XLOOKUP(A24,tblAccounts[Account_ID],tblAccounts[Include],FALSE),FALSE),SUMIFS(tblAcctSummary[Income_Other_Base],tblAcctSummary[Account_ID],A24),0))</f>
        <v/>
      </c>
      <c r="J24" s="5">
        <f>IF(A24="","",SUM(G24:I24))</f>
        <v/>
      </c>
      <c r="K24" s="5">
        <f>IF(A24="","",IF(IFERROR(XLOOKUP(A24,tblAccounts[Account_ID],tblAccounts[Include],FALSE),FALSE),SUMIFS(tblAcctSummary[Realized_GL_Base],tblAcctSummary[Account_ID],A24),0))</f>
        <v/>
      </c>
      <c r="L24" s="5">
        <f>IF(A24="","",IF(IFERROR(XLOOKUP(A24,tblAccounts[Account_ID],tblAccounts[Include],FALSE),FALSE),SUMIFS(tblAcctSummary[Fees_Base],tblAcctSummary[Account_ID],A24),0))</f>
        <v/>
      </c>
      <c r="M24" s="5">
        <f>IF(A24="","",IF(IFERROR(XLOOKUP(A24,tblAccounts[Account_ID],tblAccounts[Include],FALSE),FALSE),SUMIFS(tblAcctSummary[Taxes_Base],tblAcctSummary[Account_ID],A24),0))</f>
        <v/>
      </c>
      <c r="N24" s="5">
        <f>IF(A24="","",IF(IFERROR(XLOOKUP(A24,tblAccounts[Account_ID],tblAccounts[Include],FALSE),FALSE),IFERROR(SUMPRODUCT(tblAcctSummary[Return_Period],tblAcctSummary[Begin_Balance_Base],--(tblAcctSummary[Account_ID]=A24))/IF(SUMIFS(tblAcctSummary[Begin_Balance_Base],tblAcctSummary[Account_ID],A24)=0,NA(),SUMIFS(tblAcctSummary[Begin_Balance_Base],tblAcctSummary[Account_ID],A24)),0),0))</f>
        <v/>
      </c>
    </row>
    <row r="25">
      <c r="A25" s="5">
        <f>IFERROR(INDEX(tblAccounts[Account_ID],22),"")</f>
        <v/>
      </c>
      <c r="B25" s="5">
        <f>IF(A25="","",IFERROR(XLOOKUP(A25,tblAccounts[Account_ID],tblAccounts[Account_Name],""),""))</f>
        <v/>
      </c>
      <c r="C25" s="5">
        <f>IF(A25="","",IFERROR(XLOOKUP(A25,tblAccounts[Account_ID],tblAccounts[Household_ID],""),""))</f>
        <v/>
      </c>
      <c r="D25" s="5">
        <f>IF(A25="","",IF(IFERROR(XLOOKUP(A25,tblAccounts[Account_ID],tblAccounts[Include],FALSE),FALSE),SUMIFS(tblAcctSummary[Begin_Balance_Base],tblAcctSummary[Account_ID],A25),0))</f>
        <v/>
      </c>
      <c r="E25" s="5">
        <f>IF(A25="","",IF(IFERROR(XLOOKUP(A25,tblAccounts[Account_ID],tblAccounts[Include],FALSE),FALSE),SUMIFS(tblAcctSummary[End_Balance_Base],tblAcctSummary[Account_ID],A25),0))</f>
        <v/>
      </c>
      <c r="F25" s="5">
        <f>IF(A25="","",IF(IFERROR(XLOOKUP(A25,tblAccounts[Account_ID],tblAccounts[Include],FALSE),FALSE),SUMIFS(tblAcctSummary[Net_Contrib_Base],tblAcctSummary[Account_ID],A25),0))</f>
        <v/>
      </c>
      <c r="G25" s="5">
        <f>IF(A25="","",IF(IFERROR(XLOOKUP(A25,tblAccounts[Account_ID],tblAccounts[Include],FALSE),FALSE),SUMIFS(tblAcctSummary[Income_Interest_Base],tblAcctSummary[Account_ID],A25),0))</f>
        <v/>
      </c>
      <c r="H25" s="5">
        <f>IF(A25="","",IF(IFERROR(XLOOKUP(A25,tblAccounts[Account_ID],tblAccounts[Include],FALSE),FALSE),SUMIFS(tblAcctSummary[Income_Dividends_Base],tblAcctSummary[Account_ID],A25),0))</f>
        <v/>
      </c>
      <c r="I25" s="5">
        <f>IF(A25="","",IF(IFERROR(XLOOKUP(A25,tblAccounts[Account_ID],tblAccounts[Include],FALSE),FALSE),SUMIFS(tblAcctSummary[Income_Other_Base],tblAcctSummary[Account_ID],A25),0))</f>
        <v/>
      </c>
      <c r="J25" s="5">
        <f>IF(A25="","",SUM(G25:I25))</f>
        <v/>
      </c>
      <c r="K25" s="5">
        <f>IF(A25="","",IF(IFERROR(XLOOKUP(A25,tblAccounts[Account_ID],tblAccounts[Include],FALSE),FALSE),SUMIFS(tblAcctSummary[Realized_GL_Base],tblAcctSummary[Account_ID],A25),0))</f>
        <v/>
      </c>
      <c r="L25" s="5">
        <f>IF(A25="","",IF(IFERROR(XLOOKUP(A25,tblAccounts[Account_ID],tblAccounts[Include],FALSE),FALSE),SUMIFS(tblAcctSummary[Fees_Base],tblAcctSummary[Account_ID],A25),0))</f>
        <v/>
      </c>
      <c r="M25" s="5">
        <f>IF(A25="","",IF(IFERROR(XLOOKUP(A25,tblAccounts[Account_ID],tblAccounts[Include],FALSE),FALSE),SUMIFS(tblAcctSummary[Taxes_Base],tblAcctSummary[Account_ID],A25),0))</f>
        <v/>
      </c>
      <c r="N25" s="5">
        <f>IF(A25="","",IF(IFERROR(XLOOKUP(A25,tblAccounts[Account_ID],tblAccounts[Include],FALSE),FALSE),IFERROR(SUMPRODUCT(tblAcctSummary[Return_Period],tblAcctSummary[Begin_Balance_Base],--(tblAcctSummary[Account_ID]=A25))/IF(SUMIFS(tblAcctSummary[Begin_Balance_Base],tblAcctSummary[Account_ID],A25)=0,NA(),SUMIFS(tblAcctSummary[Begin_Balance_Base],tblAcctSummary[Account_ID],A25)),0),0))</f>
        <v/>
      </c>
    </row>
    <row r="26">
      <c r="A26" s="5">
        <f>IFERROR(INDEX(tblAccounts[Account_ID],23),"")</f>
        <v/>
      </c>
      <c r="B26" s="5">
        <f>IF(A26="","",IFERROR(XLOOKUP(A26,tblAccounts[Account_ID],tblAccounts[Account_Name],""),""))</f>
        <v/>
      </c>
      <c r="C26" s="5">
        <f>IF(A26="","",IFERROR(XLOOKUP(A26,tblAccounts[Account_ID],tblAccounts[Household_ID],""),""))</f>
        <v/>
      </c>
      <c r="D26" s="5">
        <f>IF(A26="","",IF(IFERROR(XLOOKUP(A26,tblAccounts[Account_ID],tblAccounts[Include],FALSE),FALSE),SUMIFS(tblAcctSummary[Begin_Balance_Base],tblAcctSummary[Account_ID],A26),0))</f>
        <v/>
      </c>
      <c r="E26" s="5">
        <f>IF(A26="","",IF(IFERROR(XLOOKUP(A26,tblAccounts[Account_ID],tblAccounts[Include],FALSE),FALSE),SUMIFS(tblAcctSummary[End_Balance_Base],tblAcctSummary[Account_ID],A26),0))</f>
        <v/>
      </c>
      <c r="F26" s="5">
        <f>IF(A26="","",IF(IFERROR(XLOOKUP(A26,tblAccounts[Account_ID],tblAccounts[Include],FALSE),FALSE),SUMIFS(tblAcctSummary[Net_Contrib_Base],tblAcctSummary[Account_ID],A26),0))</f>
        <v/>
      </c>
      <c r="G26" s="5">
        <f>IF(A26="","",IF(IFERROR(XLOOKUP(A26,tblAccounts[Account_ID],tblAccounts[Include],FALSE),FALSE),SUMIFS(tblAcctSummary[Income_Interest_Base],tblAcctSummary[Account_ID],A26),0))</f>
        <v/>
      </c>
      <c r="H26" s="5">
        <f>IF(A26="","",IF(IFERROR(XLOOKUP(A26,tblAccounts[Account_ID],tblAccounts[Include],FALSE),FALSE),SUMIFS(tblAcctSummary[Income_Dividends_Base],tblAcctSummary[Account_ID],A26),0))</f>
        <v/>
      </c>
      <c r="I26" s="5">
        <f>IF(A26="","",IF(IFERROR(XLOOKUP(A26,tblAccounts[Account_ID],tblAccounts[Include],FALSE),FALSE),SUMIFS(tblAcctSummary[Income_Other_Base],tblAcctSummary[Account_ID],A26),0))</f>
        <v/>
      </c>
      <c r="J26" s="5">
        <f>IF(A26="","",SUM(G26:I26))</f>
        <v/>
      </c>
      <c r="K26" s="5">
        <f>IF(A26="","",IF(IFERROR(XLOOKUP(A26,tblAccounts[Account_ID],tblAccounts[Include],FALSE),FALSE),SUMIFS(tblAcctSummary[Realized_GL_Base],tblAcctSummary[Account_ID],A26),0))</f>
        <v/>
      </c>
      <c r="L26" s="5">
        <f>IF(A26="","",IF(IFERROR(XLOOKUP(A26,tblAccounts[Account_ID],tblAccounts[Include],FALSE),FALSE),SUMIFS(tblAcctSummary[Fees_Base],tblAcctSummary[Account_ID],A26),0))</f>
        <v/>
      </c>
      <c r="M26" s="5">
        <f>IF(A26="","",IF(IFERROR(XLOOKUP(A26,tblAccounts[Account_ID],tblAccounts[Include],FALSE),FALSE),SUMIFS(tblAcctSummary[Taxes_Base],tblAcctSummary[Account_ID],A26),0))</f>
        <v/>
      </c>
      <c r="N26" s="5">
        <f>IF(A26="","",IF(IFERROR(XLOOKUP(A26,tblAccounts[Account_ID],tblAccounts[Include],FALSE),FALSE),IFERROR(SUMPRODUCT(tblAcctSummary[Return_Period],tblAcctSummary[Begin_Balance_Base],--(tblAcctSummary[Account_ID]=A26))/IF(SUMIFS(tblAcctSummary[Begin_Balance_Base],tblAcctSummary[Account_ID],A26)=0,NA(),SUMIFS(tblAcctSummary[Begin_Balance_Base],tblAcctSummary[Account_ID],A26)),0),0))</f>
        <v/>
      </c>
    </row>
    <row r="27">
      <c r="A27" s="5">
        <f>IFERROR(INDEX(tblAccounts[Account_ID],24),"")</f>
        <v/>
      </c>
      <c r="B27" s="5">
        <f>IF(A27="","",IFERROR(XLOOKUP(A27,tblAccounts[Account_ID],tblAccounts[Account_Name],""),""))</f>
        <v/>
      </c>
      <c r="C27" s="5">
        <f>IF(A27="","",IFERROR(XLOOKUP(A27,tblAccounts[Account_ID],tblAccounts[Household_ID],""),""))</f>
        <v/>
      </c>
      <c r="D27" s="5">
        <f>IF(A27="","",IF(IFERROR(XLOOKUP(A27,tblAccounts[Account_ID],tblAccounts[Include],FALSE),FALSE),SUMIFS(tblAcctSummary[Begin_Balance_Base],tblAcctSummary[Account_ID],A27),0))</f>
        <v/>
      </c>
      <c r="E27" s="5">
        <f>IF(A27="","",IF(IFERROR(XLOOKUP(A27,tblAccounts[Account_ID],tblAccounts[Include],FALSE),FALSE),SUMIFS(tblAcctSummary[End_Balance_Base],tblAcctSummary[Account_ID],A27),0))</f>
        <v/>
      </c>
      <c r="F27" s="5">
        <f>IF(A27="","",IF(IFERROR(XLOOKUP(A27,tblAccounts[Account_ID],tblAccounts[Include],FALSE),FALSE),SUMIFS(tblAcctSummary[Net_Contrib_Base],tblAcctSummary[Account_ID],A27),0))</f>
        <v/>
      </c>
      <c r="G27" s="5">
        <f>IF(A27="","",IF(IFERROR(XLOOKUP(A27,tblAccounts[Account_ID],tblAccounts[Include],FALSE),FALSE),SUMIFS(tblAcctSummary[Income_Interest_Base],tblAcctSummary[Account_ID],A27),0))</f>
        <v/>
      </c>
      <c r="H27" s="5">
        <f>IF(A27="","",IF(IFERROR(XLOOKUP(A27,tblAccounts[Account_ID],tblAccounts[Include],FALSE),FALSE),SUMIFS(tblAcctSummary[Income_Dividends_Base],tblAcctSummary[Account_ID],A27),0))</f>
        <v/>
      </c>
      <c r="I27" s="5">
        <f>IF(A27="","",IF(IFERROR(XLOOKUP(A27,tblAccounts[Account_ID],tblAccounts[Include],FALSE),FALSE),SUMIFS(tblAcctSummary[Income_Other_Base],tblAcctSummary[Account_ID],A27),0))</f>
        <v/>
      </c>
      <c r="J27" s="5">
        <f>IF(A27="","",SUM(G27:I27))</f>
        <v/>
      </c>
      <c r="K27" s="5">
        <f>IF(A27="","",IF(IFERROR(XLOOKUP(A27,tblAccounts[Account_ID],tblAccounts[Include],FALSE),FALSE),SUMIFS(tblAcctSummary[Realized_GL_Base],tblAcctSummary[Account_ID],A27),0))</f>
        <v/>
      </c>
      <c r="L27" s="5">
        <f>IF(A27="","",IF(IFERROR(XLOOKUP(A27,tblAccounts[Account_ID],tblAccounts[Include],FALSE),FALSE),SUMIFS(tblAcctSummary[Fees_Base],tblAcctSummary[Account_ID],A27),0))</f>
        <v/>
      </c>
      <c r="M27" s="5">
        <f>IF(A27="","",IF(IFERROR(XLOOKUP(A27,tblAccounts[Account_ID],tblAccounts[Include],FALSE),FALSE),SUMIFS(tblAcctSummary[Taxes_Base],tblAcctSummary[Account_ID],A27),0))</f>
        <v/>
      </c>
      <c r="N27" s="5">
        <f>IF(A27="","",IF(IFERROR(XLOOKUP(A27,tblAccounts[Account_ID],tblAccounts[Include],FALSE),FALSE),IFERROR(SUMPRODUCT(tblAcctSummary[Return_Period],tblAcctSummary[Begin_Balance_Base],--(tblAcctSummary[Account_ID]=A27))/IF(SUMIFS(tblAcctSummary[Begin_Balance_Base],tblAcctSummary[Account_ID],A27)=0,NA(),SUMIFS(tblAcctSummary[Begin_Balance_Base],tblAcctSummary[Account_ID],A27)),0),0))</f>
        <v/>
      </c>
    </row>
    <row r="28">
      <c r="A28" s="5">
        <f>IFERROR(INDEX(tblAccounts[Account_ID],25),"")</f>
        <v/>
      </c>
      <c r="B28" s="5">
        <f>IF(A28="","",IFERROR(XLOOKUP(A28,tblAccounts[Account_ID],tblAccounts[Account_Name],""),""))</f>
        <v/>
      </c>
      <c r="C28" s="5">
        <f>IF(A28="","",IFERROR(XLOOKUP(A28,tblAccounts[Account_ID],tblAccounts[Household_ID],""),""))</f>
        <v/>
      </c>
      <c r="D28" s="5">
        <f>IF(A28="","",IF(IFERROR(XLOOKUP(A28,tblAccounts[Account_ID],tblAccounts[Include],FALSE),FALSE),SUMIFS(tblAcctSummary[Begin_Balance_Base],tblAcctSummary[Account_ID],A28),0))</f>
        <v/>
      </c>
      <c r="E28" s="5">
        <f>IF(A28="","",IF(IFERROR(XLOOKUP(A28,tblAccounts[Account_ID],tblAccounts[Include],FALSE),FALSE),SUMIFS(tblAcctSummary[End_Balance_Base],tblAcctSummary[Account_ID],A28),0))</f>
        <v/>
      </c>
      <c r="F28" s="5">
        <f>IF(A28="","",IF(IFERROR(XLOOKUP(A28,tblAccounts[Account_ID],tblAccounts[Include],FALSE),FALSE),SUMIFS(tblAcctSummary[Net_Contrib_Base],tblAcctSummary[Account_ID],A28),0))</f>
        <v/>
      </c>
      <c r="G28" s="5">
        <f>IF(A28="","",IF(IFERROR(XLOOKUP(A28,tblAccounts[Account_ID],tblAccounts[Include],FALSE),FALSE),SUMIFS(tblAcctSummary[Income_Interest_Base],tblAcctSummary[Account_ID],A28),0))</f>
        <v/>
      </c>
      <c r="H28" s="5">
        <f>IF(A28="","",IF(IFERROR(XLOOKUP(A28,tblAccounts[Account_ID],tblAccounts[Include],FALSE),FALSE),SUMIFS(tblAcctSummary[Income_Dividends_Base],tblAcctSummary[Account_ID],A28),0))</f>
        <v/>
      </c>
      <c r="I28" s="5">
        <f>IF(A28="","",IF(IFERROR(XLOOKUP(A28,tblAccounts[Account_ID],tblAccounts[Include],FALSE),FALSE),SUMIFS(tblAcctSummary[Income_Other_Base],tblAcctSummary[Account_ID],A28),0))</f>
        <v/>
      </c>
      <c r="J28" s="5">
        <f>IF(A28="","",SUM(G28:I28))</f>
        <v/>
      </c>
      <c r="K28" s="5">
        <f>IF(A28="","",IF(IFERROR(XLOOKUP(A28,tblAccounts[Account_ID],tblAccounts[Include],FALSE),FALSE),SUMIFS(tblAcctSummary[Realized_GL_Base],tblAcctSummary[Account_ID],A28),0))</f>
        <v/>
      </c>
      <c r="L28" s="5">
        <f>IF(A28="","",IF(IFERROR(XLOOKUP(A28,tblAccounts[Account_ID],tblAccounts[Include],FALSE),FALSE),SUMIFS(tblAcctSummary[Fees_Base],tblAcctSummary[Account_ID],A28),0))</f>
        <v/>
      </c>
      <c r="M28" s="5">
        <f>IF(A28="","",IF(IFERROR(XLOOKUP(A28,tblAccounts[Account_ID],tblAccounts[Include],FALSE),FALSE),SUMIFS(tblAcctSummary[Taxes_Base],tblAcctSummary[Account_ID],A28),0))</f>
        <v/>
      </c>
      <c r="N28" s="5">
        <f>IF(A28="","",IF(IFERROR(XLOOKUP(A28,tblAccounts[Account_ID],tblAccounts[Include],FALSE),FALSE),IFERROR(SUMPRODUCT(tblAcctSummary[Return_Period],tblAcctSummary[Begin_Balance_Base],--(tblAcctSummary[Account_ID]=A28))/IF(SUMIFS(tblAcctSummary[Begin_Balance_Base],tblAcctSummary[Account_ID],A28)=0,NA(),SUMIFS(tblAcctSummary[Begin_Balance_Base],tblAcctSummary[Account_ID],A28)),0),0))</f>
        <v/>
      </c>
    </row>
    <row r="29">
      <c r="A29" s="5">
        <f>IFERROR(INDEX(tblAccounts[Account_ID],26),"")</f>
        <v/>
      </c>
      <c r="B29" s="5">
        <f>IF(A29="","",IFERROR(XLOOKUP(A29,tblAccounts[Account_ID],tblAccounts[Account_Name],""),""))</f>
        <v/>
      </c>
      <c r="C29" s="5">
        <f>IF(A29="","",IFERROR(XLOOKUP(A29,tblAccounts[Account_ID],tblAccounts[Household_ID],""),""))</f>
        <v/>
      </c>
      <c r="D29" s="5">
        <f>IF(A29="","",IF(IFERROR(XLOOKUP(A29,tblAccounts[Account_ID],tblAccounts[Include],FALSE),FALSE),SUMIFS(tblAcctSummary[Begin_Balance_Base],tblAcctSummary[Account_ID],A29),0))</f>
        <v/>
      </c>
      <c r="E29" s="5">
        <f>IF(A29="","",IF(IFERROR(XLOOKUP(A29,tblAccounts[Account_ID],tblAccounts[Include],FALSE),FALSE),SUMIFS(tblAcctSummary[End_Balance_Base],tblAcctSummary[Account_ID],A29),0))</f>
        <v/>
      </c>
      <c r="F29" s="5">
        <f>IF(A29="","",IF(IFERROR(XLOOKUP(A29,tblAccounts[Account_ID],tblAccounts[Include],FALSE),FALSE),SUMIFS(tblAcctSummary[Net_Contrib_Base],tblAcctSummary[Account_ID],A29),0))</f>
        <v/>
      </c>
      <c r="G29" s="5">
        <f>IF(A29="","",IF(IFERROR(XLOOKUP(A29,tblAccounts[Account_ID],tblAccounts[Include],FALSE),FALSE),SUMIFS(tblAcctSummary[Income_Interest_Base],tblAcctSummary[Account_ID],A29),0))</f>
        <v/>
      </c>
      <c r="H29" s="5">
        <f>IF(A29="","",IF(IFERROR(XLOOKUP(A29,tblAccounts[Account_ID],tblAccounts[Include],FALSE),FALSE),SUMIFS(tblAcctSummary[Income_Dividends_Base],tblAcctSummary[Account_ID],A29),0))</f>
        <v/>
      </c>
      <c r="I29" s="5">
        <f>IF(A29="","",IF(IFERROR(XLOOKUP(A29,tblAccounts[Account_ID],tblAccounts[Include],FALSE),FALSE),SUMIFS(tblAcctSummary[Income_Other_Base],tblAcctSummary[Account_ID],A29),0))</f>
        <v/>
      </c>
      <c r="J29" s="5">
        <f>IF(A29="","",SUM(G29:I29))</f>
        <v/>
      </c>
      <c r="K29" s="5">
        <f>IF(A29="","",IF(IFERROR(XLOOKUP(A29,tblAccounts[Account_ID],tblAccounts[Include],FALSE),FALSE),SUMIFS(tblAcctSummary[Realized_GL_Base],tblAcctSummary[Account_ID],A29),0))</f>
        <v/>
      </c>
      <c r="L29" s="5">
        <f>IF(A29="","",IF(IFERROR(XLOOKUP(A29,tblAccounts[Account_ID],tblAccounts[Include],FALSE),FALSE),SUMIFS(tblAcctSummary[Fees_Base],tblAcctSummary[Account_ID],A29),0))</f>
        <v/>
      </c>
      <c r="M29" s="5">
        <f>IF(A29="","",IF(IFERROR(XLOOKUP(A29,tblAccounts[Account_ID],tblAccounts[Include],FALSE),FALSE),SUMIFS(tblAcctSummary[Taxes_Base],tblAcctSummary[Account_ID],A29),0))</f>
        <v/>
      </c>
      <c r="N29" s="5">
        <f>IF(A29="","",IF(IFERROR(XLOOKUP(A29,tblAccounts[Account_ID],tblAccounts[Include],FALSE),FALSE),IFERROR(SUMPRODUCT(tblAcctSummary[Return_Period],tblAcctSummary[Begin_Balance_Base],--(tblAcctSummary[Account_ID]=A29))/IF(SUMIFS(tblAcctSummary[Begin_Balance_Base],tblAcctSummary[Account_ID],A29)=0,NA(),SUMIFS(tblAcctSummary[Begin_Balance_Base],tblAcctSummary[Account_ID],A29)),0),0))</f>
        <v/>
      </c>
    </row>
    <row r="30">
      <c r="A30" s="5">
        <f>IFERROR(INDEX(tblAccounts[Account_ID],27),"")</f>
        <v/>
      </c>
      <c r="B30" s="5">
        <f>IF(A30="","",IFERROR(XLOOKUP(A30,tblAccounts[Account_ID],tblAccounts[Account_Name],""),""))</f>
        <v/>
      </c>
      <c r="C30" s="5">
        <f>IF(A30="","",IFERROR(XLOOKUP(A30,tblAccounts[Account_ID],tblAccounts[Household_ID],""),""))</f>
        <v/>
      </c>
      <c r="D30" s="5">
        <f>IF(A30="","",IF(IFERROR(XLOOKUP(A30,tblAccounts[Account_ID],tblAccounts[Include],FALSE),FALSE),SUMIFS(tblAcctSummary[Begin_Balance_Base],tblAcctSummary[Account_ID],A30),0))</f>
        <v/>
      </c>
      <c r="E30" s="5">
        <f>IF(A30="","",IF(IFERROR(XLOOKUP(A30,tblAccounts[Account_ID],tblAccounts[Include],FALSE),FALSE),SUMIFS(tblAcctSummary[End_Balance_Base],tblAcctSummary[Account_ID],A30),0))</f>
        <v/>
      </c>
      <c r="F30" s="5">
        <f>IF(A30="","",IF(IFERROR(XLOOKUP(A30,tblAccounts[Account_ID],tblAccounts[Include],FALSE),FALSE),SUMIFS(tblAcctSummary[Net_Contrib_Base],tblAcctSummary[Account_ID],A30),0))</f>
        <v/>
      </c>
      <c r="G30" s="5">
        <f>IF(A30="","",IF(IFERROR(XLOOKUP(A30,tblAccounts[Account_ID],tblAccounts[Include],FALSE),FALSE),SUMIFS(tblAcctSummary[Income_Interest_Base],tblAcctSummary[Account_ID],A30),0))</f>
        <v/>
      </c>
      <c r="H30" s="5">
        <f>IF(A30="","",IF(IFERROR(XLOOKUP(A30,tblAccounts[Account_ID],tblAccounts[Include],FALSE),FALSE),SUMIFS(tblAcctSummary[Income_Dividends_Base],tblAcctSummary[Account_ID],A30),0))</f>
        <v/>
      </c>
      <c r="I30" s="5">
        <f>IF(A30="","",IF(IFERROR(XLOOKUP(A30,tblAccounts[Account_ID],tblAccounts[Include],FALSE),FALSE),SUMIFS(tblAcctSummary[Income_Other_Base],tblAcctSummary[Account_ID],A30),0))</f>
        <v/>
      </c>
      <c r="J30" s="5">
        <f>IF(A30="","",SUM(G30:I30))</f>
        <v/>
      </c>
      <c r="K30" s="5">
        <f>IF(A30="","",IF(IFERROR(XLOOKUP(A30,tblAccounts[Account_ID],tblAccounts[Include],FALSE),FALSE),SUMIFS(tblAcctSummary[Realized_GL_Base],tblAcctSummary[Account_ID],A30),0))</f>
        <v/>
      </c>
      <c r="L30" s="5">
        <f>IF(A30="","",IF(IFERROR(XLOOKUP(A30,tblAccounts[Account_ID],tblAccounts[Include],FALSE),FALSE),SUMIFS(tblAcctSummary[Fees_Base],tblAcctSummary[Account_ID],A30),0))</f>
        <v/>
      </c>
      <c r="M30" s="5">
        <f>IF(A30="","",IF(IFERROR(XLOOKUP(A30,tblAccounts[Account_ID],tblAccounts[Include],FALSE),FALSE),SUMIFS(tblAcctSummary[Taxes_Base],tblAcctSummary[Account_ID],A30),0))</f>
        <v/>
      </c>
      <c r="N30" s="5">
        <f>IF(A30="","",IF(IFERROR(XLOOKUP(A30,tblAccounts[Account_ID],tblAccounts[Include],FALSE),FALSE),IFERROR(SUMPRODUCT(tblAcctSummary[Return_Period],tblAcctSummary[Begin_Balance_Base],--(tblAcctSummary[Account_ID]=A30))/IF(SUMIFS(tblAcctSummary[Begin_Balance_Base],tblAcctSummary[Account_ID],A30)=0,NA(),SUMIFS(tblAcctSummary[Begin_Balance_Base],tblAcctSummary[Account_ID],A30)),0),0))</f>
        <v/>
      </c>
    </row>
    <row r="31">
      <c r="A31" s="5">
        <f>IFERROR(INDEX(tblAccounts[Account_ID],28),"")</f>
        <v/>
      </c>
      <c r="B31" s="5">
        <f>IF(A31="","",IFERROR(XLOOKUP(A31,tblAccounts[Account_ID],tblAccounts[Account_Name],""),""))</f>
        <v/>
      </c>
      <c r="C31" s="5">
        <f>IF(A31="","",IFERROR(XLOOKUP(A31,tblAccounts[Account_ID],tblAccounts[Household_ID],""),""))</f>
        <v/>
      </c>
      <c r="D31" s="5">
        <f>IF(A31="","",IF(IFERROR(XLOOKUP(A31,tblAccounts[Account_ID],tblAccounts[Include],FALSE),FALSE),SUMIFS(tblAcctSummary[Begin_Balance_Base],tblAcctSummary[Account_ID],A31),0))</f>
        <v/>
      </c>
      <c r="E31" s="5">
        <f>IF(A31="","",IF(IFERROR(XLOOKUP(A31,tblAccounts[Account_ID],tblAccounts[Include],FALSE),FALSE),SUMIFS(tblAcctSummary[End_Balance_Base],tblAcctSummary[Account_ID],A31),0))</f>
        <v/>
      </c>
      <c r="F31" s="5">
        <f>IF(A31="","",IF(IFERROR(XLOOKUP(A31,tblAccounts[Account_ID],tblAccounts[Include],FALSE),FALSE),SUMIFS(tblAcctSummary[Net_Contrib_Base],tblAcctSummary[Account_ID],A31),0))</f>
        <v/>
      </c>
      <c r="G31" s="5">
        <f>IF(A31="","",IF(IFERROR(XLOOKUP(A31,tblAccounts[Account_ID],tblAccounts[Include],FALSE),FALSE),SUMIFS(tblAcctSummary[Income_Interest_Base],tblAcctSummary[Account_ID],A31),0))</f>
        <v/>
      </c>
      <c r="H31" s="5">
        <f>IF(A31="","",IF(IFERROR(XLOOKUP(A31,tblAccounts[Account_ID],tblAccounts[Include],FALSE),FALSE),SUMIFS(tblAcctSummary[Income_Dividends_Base],tblAcctSummary[Account_ID],A31),0))</f>
        <v/>
      </c>
      <c r="I31" s="5">
        <f>IF(A31="","",IF(IFERROR(XLOOKUP(A31,tblAccounts[Account_ID],tblAccounts[Include],FALSE),FALSE),SUMIFS(tblAcctSummary[Income_Other_Base],tblAcctSummary[Account_ID],A31),0))</f>
        <v/>
      </c>
      <c r="J31" s="5">
        <f>IF(A31="","",SUM(G31:I31))</f>
        <v/>
      </c>
      <c r="K31" s="5">
        <f>IF(A31="","",IF(IFERROR(XLOOKUP(A31,tblAccounts[Account_ID],tblAccounts[Include],FALSE),FALSE),SUMIFS(tblAcctSummary[Realized_GL_Base],tblAcctSummary[Account_ID],A31),0))</f>
        <v/>
      </c>
      <c r="L31" s="5">
        <f>IF(A31="","",IF(IFERROR(XLOOKUP(A31,tblAccounts[Account_ID],tblAccounts[Include],FALSE),FALSE),SUMIFS(tblAcctSummary[Fees_Base],tblAcctSummary[Account_ID],A31),0))</f>
        <v/>
      </c>
      <c r="M31" s="5">
        <f>IF(A31="","",IF(IFERROR(XLOOKUP(A31,tblAccounts[Account_ID],tblAccounts[Include],FALSE),FALSE),SUMIFS(tblAcctSummary[Taxes_Base],tblAcctSummary[Account_ID],A31),0))</f>
        <v/>
      </c>
      <c r="N31" s="5">
        <f>IF(A31="","",IF(IFERROR(XLOOKUP(A31,tblAccounts[Account_ID],tblAccounts[Include],FALSE),FALSE),IFERROR(SUMPRODUCT(tblAcctSummary[Return_Period],tblAcctSummary[Begin_Balance_Base],--(tblAcctSummary[Account_ID]=A31))/IF(SUMIFS(tblAcctSummary[Begin_Balance_Base],tblAcctSummary[Account_ID],A31)=0,NA(),SUMIFS(tblAcctSummary[Begin_Balance_Base],tblAcctSummary[Account_ID],A31)),0),0))</f>
        <v/>
      </c>
    </row>
    <row r="32">
      <c r="A32" s="5">
        <f>IFERROR(INDEX(tblAccounts[Account_ID],29),"")</f>
        <v/>
      </c>
      <c r="B32" s="5">
        <f>IF(A32="","",IFERROR(XLOOKUP(A32,tblAccounts[Account_ID],tblAccounts[Account_Name],""),""))</f>
        <v/>
      </c>
      <c r="C32" s="5">
        <f>IF(A32="","",IFERROR(XLOOKUP(A32,tblAccounts[Account_ID],tblAccounts[Household_ID],""),""))</f>
        <v/>
      </c>
      <c r="D32" s="5">
        <f>IF(A32="","",IF(IFERROR(XLOOKUP(A32,tblAccounts[Account_ID],tblAccounts[Include],FALSE),FALSE),SUMIFS(tblAcctSummary[Begin_Balance_Base],tblAcctSummary[Account_ID],A32),0))</f>
        <v/>
      </c>
      <c r="E32" s="5">
        <f>IF(A32="","",IF(IFERROR(XLOOKUP(A32,tblAccounts[Account_ID],tblAccounts[Include],FALSE),FALSE),SUMIFS(tblAcctSummary[End_Balance_Base],tblAcctSummary[Account_ID],A32),0))</f>
        <v/>
      </c>
      <c r="F32" s="5">
        <f>IF(A32="","",IF(IFERROR(XLOOKUP(A32,tblAccounts[Account_ID],tblAccounts[Include],FALSE),FALSE),SUMIFS(tblAcctSummary[Net_Contrib_Base],tblAcctSummary[Account_ID],A32),0))</f>
        <v/>
      </c>
      <c r="G32" s="5">
        <f>IF(A32="","",IF(IFERROR(XLOOKUP(A32,tblAccounts[Account_ID],tblAccounts[Include],FALSE),FALSE),SUMIFS(tblAcctSummary[Income_Interest_Base],tblAcctSummary[Account_ID],A32),0))</f>
        <v/>
      </c>
      <c r="H32" s="5">
        <f>IF(A32="","",IF(IFERROR(XLOOKUP(A32,tblAccounts[Account_ID],tblAccounts[Include],FALSE),FALSE),SUMIFS(tblAcctSummary[Income_Dividends_Base],tblAcctSummary[Account_ID],A32),0))</f>
        <v/>
      </c>
      <c r="I32" s="5">
        <f>IF(A32="","",IF(IFERROR(XLOOKUP(A32,tblAccounts[Account_ID],tblAccounts[Include],FALSE),FALSE),SUMIFS(tblAcctSummary[Income_Other_Base],tblAcctSummary[Account_ID],A32),0))</f>
        <v/>
      </c>
      <c r="J32" s="5">
        <f>IF(A32="","",SUM(G32:I32))</f>
        <v/>
      </c>
      <c r="K32" s="5">
        <f>IF(A32="","",IF(IFERROR(XLOOKUP(A32,tblAccounts[Account_ID],tblAccounts[Include],FALSE),FALSE),SUMIFS(tblAcctSummary[Realized_GL_Base],tblAcctSummary[Account_ID],A32),0))</f>
        <v/>
      </c>
      <c r="L32" s="5">
        <f>IF(A32="","",IF(IFERROR(XLOOKUP(A32,tblAccounts[Account_ID],tblAccounts[Include],FALSE),FALSE),SUMIFS(tblAcctSummary[Fees_Base],tblAcctSummary[Account_ID],A32),0))</f>
        <v/>
      </c>
      <c r="M32" s="5">
        <f>IF(A32="","",IF(IFERROR(XLOOKUP(A32,tblAccounts[Account_ID],tblAccounts[Include],FALSE),FALSE),SUMIFS(tblAcctSummary[Taxes_Base],tblAcctSummary[Account_ID],A32),0))</f>
        <v/>
      </c>
      <c r="N32" s="5">
        <f>IF(A32="","",IF(IFERROR(XLOOKUP(A32,tblAccounts[Account_ID],tblAccounts[Include],FALSE),FALSE),IFERROR(SUMPRODUCT(tblAcctSummary[Return_Period],tblAcctSummary[Begin_Balance_Base],--(tblAcctSummary[Account_ID]=A32))/IF(SUMIFS(tblAcctSummary[Begin_Balance_Base],tblAcctSummary[Account_ID],A32)=0,NA(),SUMIFS(tblAcctSummary[Begin_Balance_Base],tblAcctSummary[Account_ID],A32)),0),0))</f>
        <v/>
      </c>
    </row>
    <row r="33">
      <c r="A33" s="5">
        <f>IFERROR(INDEX(tblAccounts[Account_ID],30),"")</f>
        <v/>
      </c>
      <c r="B33" s="5">
        <f>IF(A33="","",IFERROR(XLOOKUP(A33,tblAccounts[Account_ID],tblAccounts[Account_Name],""),""))</f>
        <v/>
      </c>
      <c r="C33" s="5">
        <f>IF(A33="","",IFERROR(XLOOKUP(A33,tblAccounts[Account_ID],tblAccounts[Household_ID],""),""))</f>
        <v/>
      </c>
      <c r="D33" s="5">
        <f>IF(A33="","",IF(IFERROR(XLOOKUP(A33,tblAccounts[Account_ID],tblAccounts[Include],FALSE),FALSE),SUMIFS(tblAcctSummary[Begin_Balance_Base],tblAcctSummary[Account_ID],A33),0))</f>
        <v/>
      </c>
      <c r="E33" s="5">
        <f>IF(A33="","",IF(IFERROR(XLOOKUP(A33,tblAccounts[Account_ID],tblAccounts[Include],FALSE),FALSE),SUMIFS(tblAcctSummary[End_Balance_Base],tblAcctSummary[Account_ID],A33),0))</f>
        <v/>
      </c>
      <c r="F33" s="5">
        <f>IF(A33="","",IF(IFERROR(XLOOKUP(A33,tblAccounts[Account_ID],tblAccounts[Include],FALSE),FALSE),SUMIFS(tblAcctSummary[Net_Contrib_Base],tblAcctSummary[Account_ID],A33),0))</f>
        <v/>
      </c>
      <c r="G33" s="5">
        <f>IF(A33="","",IF(IFERROR(XLOOKUP(A33,tblAccounts[Account_ID],tblAccounts[Include],FALSE),FALSE),SUMIFS(tblAcctSummary[Income_Interest_Base],tblAcctSummary[Account_ID],A33),0))</f>
        <v/>
      </c>
      <c r="H33" s="5">
        <f>IF(A33="","",IF(IFERROR(XLOOKUP(A33,tblAccounts[Account_ID],tblAccounts[Include],FALSE),FALSE),SUMIFS(tblAcctSummary[Income_Dividends_Base],tblAcctSummary[Account_ID],A33),0))</f>
        <v/>
      </c>
      <c r="I33" s="5">
        <f>IF(A33="","",IF(IFERROR(XLOOKUP(A33,tblAccounts[Account_ID],tblAccounts[Include],FALSE),FALSE),SUMIFS(tblAcctSummary[Income_Other_Base],tblAcctSummary[Account_ID],A33),0))</f>
        <v/>
      </c>
      <c r="J33" s="5">
        <f>IF(A33="","",SUM(G33:I33))</f>
        <v/>
      </c>
      <c r="K33" s="5">
        <f>IF(A33="","",IF(IFERROR(XLOOKUP(A33,tblAccounts[Account_ID],tblAccounts[Include],FALSE),FALSE),SUMIFS(tblAcctSummary[Realized_GL_Base],tblAcctSummary[Account_ID],A33),0))</f>
        <v/>
      </c>
      <c r="L33" s="5">
        <f>IF(A33="","",IF(IFERROR(XLOOKUP(A33,tblAccounts[Account_ID],tblAccounts[Include],FALSE),FALSE),SUMIFS(tblAcctSummary[Fees_Base],tblAcctSummary[Account_ID],A33),0))</f>
        <v/>
      </c>
      <c r="M33" s="5">
        <f>IF(A33="","",IF(IFERROR(XLOOKUP(A33,tblAccounts[Account_ID],tblAccounts[Include],FALSE),FALSE),SUMIFS(tblAcctSummary[Taxes_Base],tblAcctSummary[Account_ID],A33),0))</f>
        <v/>
      </c>
      <c r="N33" s="5">
        <f>IF(A33="","",IF(IFERROR(XLOOKUP(A33,tblAccounts[Account_ID],tblAccounts[Include],FALSE),FALSE),IFERROR(SUMPRODUCT(tblAcctSummary[Return_Period],tblAcctSummary[Begin_Balance_Base],--(tblAcctSummary[Account_ID]=A33))/IF(SUMIFS(tblAcctSummary[Begin_Balance_Base],tblAcctSummary[Account_ID],A33)=0,NA(),SUMIFS(tblAcctSummary[Begin_Balance_Base],tblAcctSummary[Account_ID],A33)),0),0))</f>
        <v/>
      </c>
    </row>
    <row r="34">
      <c r="A34" s="5">
        <f>IFERROR(INDEX(tblAccounts[Account_ID],31),"")</f>
        <v/>
      </c>
      <c r="B34" s="5">
        <f>IF(A34="","",IFERROR(XLOOKUP(A34,tblAccounts[Account_ID],tblAccounts[Account_Name],""),""))</f>
        <v/>
      </c>
      <c r="C34" s="5">
        <f>IF(A34="","",IFERROR(XLOOKUP(A34,tblAccounts[Account_ID],tblAccounts[Household_ID],""),""))</f>
        <v/>
      </c>
      <c r="D34" s="5">
        <f>IF(A34="","",IF(IFERROR(XLOOKUP(A34,tblAccounts[Account_ID],tblAccounts[Include],FALSE),FALSE),SUMIFS(tblAcctSummary[Begin_Balance_Base],tblAcctSummary[Account_ID],A34),0))</f>
        <v/>
      </c>
      <c r="E34" s="5">
        <f>IF(A34="","",IF(IFERROR(XLOOKUP(A34,tblAccounts[Account_ID],tblAccounts[Include],FALSE),FALSE),SUMIFS(tblAcctSummary[End_Balance_Base],tblAcctSummary[Account_ID],A34),0))</f>
        <v/>
      </c>
      <c r="F34" s="5">
        <f>IF(A34="","",IF(IFERROR(XLOOKUP(A34,tblAccounts[Account_ID],tblAccounts[Include],FALSE),FALSE),SUMIFS(tblAcctSummary[Net_Contrib_Base],tblAcctSummary[Account_ID],A34),0))</f>
        <v/>
      </c>
      <c r="G34" s="5">
        <f>IF(A34="","",IF(IFERROR(XLOOKUP(A34,tblAccounts[Account_ID],tblAccounts[Include],FALSE),FALSE),SUMIFS(tblAcctSummary[Income_Interest_Base],tblAcctSummary[Account_ID],A34),0))</f>
        <v/>
      </c>
      <c r="H34" s="5">
        <f>IF(A34="","",IF(IFERROR(XLOOKUP(A34,tblAccounts[Account_ID],tblAccounts[Include],FALSE),FALSE),SUMIFS(tblAcctSummary[Income_Dividends_Base],tblAcctSummary[Account_ID],A34),0))</f>
        <v/>
      </c>
      <c r="I34" s="5">
        <f>IF(A34="","",IF(IFERROR(XLOOKUP(A34,tblAccounts[Account_ID],tblAccounts[Include],FALSE),FALSE),SUMIFS(tblAcctSummary[Income_Other_Base],tblAcctSummary[Account_ID],A34),0))</f>
        <v/>
      </c>
      <c r="J34" s="5">
        <f>IF(A34="","",SUM(G34:I34))</f>
        <v/>
      </c>
      <c r="K34" s="5">
        <f>IF(A34="","",IF(IFERROR(XLOOKUP(A34,tblAccounts[Account_ID],tblAccounts[Include],FALSE),FALSE),SUMIFS(tblAcctSummary[Realized_GL_Base],tblAcctSummary[Account_ID],A34),0))</f>
        <v/>
      </c>
      <c r="L34" s="5">
        <f>IF(A34="","",IF(IFERROR(XLOOKUP(A34,tblAccounts[Account_ID],tblAccounts[Include],FALSE),FALSE),SUMIFS(tblAcctSummary[Fees_Base],tblAcctSummary[Account_ID],A34),0))</f>
        <v/>
      </c>
      <c r="M34" s="5">
        <f>IF(A34="","",IF(IFERROR(XLOOKUP(A34,tblAccounts[Account_ID],tblAccounts[Include],FALSE),FALSE),SUMIFS(tblAcctSummary[Taxes_Base],tblAcctSummary[Account_ID],A34),0))</f>
        <v/>
      </c>
      <c r="N34" s="5">
        <f>IF(A34="","",IF(IFERROR(XLOOKUP(A34,tblAccounts[Account_ID],tblAccounts[Include],FALSE),FALSE),IFERROR(SUMPRODUCT(tblAcctSummary[Return_Period],tblAcctSummary[Begin_Balance_Base],--(tblAcctSummary[Account_ID]=A34))/IF(SUMIFS(tblAcctSummary[Begin_Balance_Base],tblAcctSummary[Account_ID],A34)=0,NA(),SUMIFS(tblAcctSummary[Begin_Balance_Base],tblAcctSummary[Account_ID],A34)),0),0))</f>
        <v/>
      </c>
    </row>
    <row r="35">
      <c r="A35" s="5">
        <f>IFERROR(INDEX(tblAccounts[Account_ID],32),"")</f>
        <v/>
      </c>
      <c r="B35" s="5">
        <f>IF(A35="","",IFERROR(XLOOKUP(A35,tblAccounts[Account_ID],tblAccounts[Account_Name],""),""))</f>
        <v/>
      </c>
      <c r="C35" s="5">
        <f>IF(A35="","",IFERROR(XLOOKUP(A35,tblAccounts[Account_ID],tblAccounts[Household_ID],""),""))</f>
        <v/>
      </c>
      <c r="D35" s="5">
        <f>IF(A35="","",IF(IFERROR(XLOOKUP(A35,tblAccounts[Account_ID],tblAccounts[Include],FALSE),FALSE),SUMIFS(tblAcctSummary[Begin_Balance_Base],tblAcctSummary[Account_ID],A35),0))</f>
        <v/>
      </c>
      <c r="E35" s="5">
        <f>IF(A35="","",IF(IFERROR(XLOOKUP(A35,tblAccounts[Account_ID],tblAccounts[Include],FALSE),FALSE),SUMIFS(tblAcctSummary[End_Balance_Base],tblAcctSummary[Account_ID],A35),0))</f>
        <v/>
      </c>
      <c r="F35" s="5">
        <f>IF(A35="","",IF(IFERROR(XLOOKUP(A35,tblAccounts[Account_ID],tblAccounts[Include],FALSE),FALSE),SUMIFS(tblAcctSummary[Net_Contrib_Base],tblAcctSummary[Account_ID],A35),0))</f>
        <v/>
      </c>
      <c r="G35" s="5">
        <f>IF(A35="","",IF(IFERROR(XLOOKUP(A35,tblAccounts[Account_ID],tblAccounts[Include],FALSE),FALSE),SUMIFS(tblAcctSummary[Income_Interest_Base],tblAcctSummary[Account_ID],A35),0))</f>
        <v/>
      </c>
      <c r="H35" s="5">
        <f>IF(A35="","",IF(IFERROR(XLOOKUP(A35,tblAccounts[Account_ID],tblAccounts[Include],FALSE),FALSE),SUMIFS(tblAcctSummary[Income_Dividends_Base],tblAcctSummary[Account_ID],A35),0))</f>
        <v/>
      </c>
      <c r="I35" s="5">
        <f>IF(A35="","",IF(IFERROR(XLOOKUP(A35,tblAccounts[Account_ID],tblAccounts[Include],FALSE),FALSE),SUMIFS(tblAcctSummary[Income_Other_Base],tblAcctSummary[Account_ID],A35),0))</f>
        <v/>
      </c>
      <c r="J35" s="5">
        <f>IF(A35="","",SUM(G35:I35))</f>
        <v/>
      </c>
      <c r="K35" s="5">
        <f>IF(A35="","",IF(IFERROR(XLOOKUP(A35,tblAccounts[Account_ID],tblAccounts[Include],FALSE),FALSE),SUMIFS(tblAcctSummary[Realized_GL_Base],tblAcctSummary[Account_ID],A35),0))</f>
        <v/>
      </c>
      <c r="L35" s="5">
        <f>IF(A35="","",IF(IFERROR(XLOOKUP(A35,tblAccounts[Account_ID],tblAccounts[Include],FALSE),FALSE),SUMIFS(tblAcctSummary[Fees_Base],tblAcctSummary[Account_ID],A35),0))</f>
        <v/>
      </c>
      <c r="M35" s="5">
        <f>IF(A35="","",IF(IFERROR(XLOOKUP(A35,tblAccounts[Account_ID],tblAccounts[Include],FALSE),FALSE),SUMIFS(tblAcctSummary[Taxes_Base],tblAcctSummary[Account_ID],A35),0))</f>
        <v/>
      </c>
      <c r="N35" s="5">
        <f>IF(A35="","",IF(IFERROR(XLOOKUP(A35,tblAccounts[Account_ID],tblAccounts[Include],FALSE),FALSE),IFERROR(SUMPRODUCT(tblAcctSummary[Return_Period],tblAcctSummary[Begin_Balance_Base],--(tblAcctSummary[Account_ID]=A35))/IF(SUMIFS(tblAcctSummary[Begin_Balance_Base],tblAcctSummary[Account_ID],A35)=0,NA(),SUMIFS(tblAcctSummary[Begin_Balance_Base],tblAcctSummary[Account_ID],A35)),0),0))</f>
        <v/>
      </c>
    </row>
    <row r="36">
      <c r="A36" s="5">
        <f>IFERROR(INDEX(tblAccounts[Account_ID],33),"")</f>
        <v/>
      </c>
      <c r="B36" s="5">
        <f>IF(A36="","",IFERROR(XLOOKUP(A36,tblAccounts[Account_ID],tblAccounts[Account_Name],""),""))</f>
        <v/>
      </c>
      <c r="C36" s="5">
        <f>IF(A36="","",IFERROR(XLOOKUP(A36,tblAccounts[Account_ID],tblAccounts[Household_ID],""),""))</f>
        <v/>
      </c>
      <c r="D36" s="5">
        <f>IF(A36="","",IF(IFERROR(XLOOKUP(A36,tblAccounts[Account_ID],tblAccounts[Include],FALSE),FALSE),SUMIFS(tblAcctSummary[Begin_Balance_Base],tblAcctSummary[Account_ID],A36),0))</f>
        <v/>
      </c>
      <c r="E36" s="5">
        <f>IF(A36="","",IF(IFERROR(XLOOKUP(A36,tblAccounts[Account_ID],tblAccounts[Include],FALSE),FALSE),SUMIFS(tblAcctSummary[End_Balance_Base],tblAcctSummary[Account_ID],A36),0))</f>
        <v/>
      </c>
      <c r="F36" s="5">
        <f>IF(A36="","",IF(IFERROR(XLOOKUP(A36,tblAccounts[Account_ID],tblAccounts[Include],FALSE),FALSE),SUMIFS(tblAcctSummary[Net_Contrib_Base],tblAcctSummary[Account_ID],A36),0))</f>
        <v/>
      </c>
      <c r="G36" s="5">
        <f>IF(A36="","",IF(IFERROR(XLOOKUP(A36,tblAccounts[Account_ID],tblAccounts[Include],FALSE),FALSE),SUMIFS(tblAcctSummary[Income_Interest_Base],tblAcctSummary[Account_ID],A36),0))</f>
        <v/>
      </c>
      <c r="H36" s="5">
        <f>IF(A36="","",IF(IFERROR(XLOOKUP(A36,tblAccounts[Account_ID],tblAccounts[Include],FALSE),FALSE),SUMIFS(tblAcctSummary[Income_Dividends_Base],tblAcctSummary[Account_ID],A36),0))</f>
        <v/>
      </c>
      <c r="I36" s="5">
        <f>IF(A36="","",IF(IFERROR(XLOOKUP(A36,tblAccounts[Account_ID],tblAccounts[Include],FALSE),FALSE),SUMIFS(tblAcctSummary[Income_Other_Base],tblAcctSummary[Account_ID],A36),0))</f>
        <v/>
      </c>
      <c r="J36" s="5">
        <f>IF(A36="","",SUM(G36:I36))</f>
        <v/>
      </c>
      <c r="K36" s="5">
        <f>IF(A36="","",IF(IFERROR(XLOOKUP(A36,tblAccounts[Account_ID],tblAccounts[Include],FALSE),FALSE),SUMIFS(tblAcctSummary[Realized_GL_Base],tblAcctSummary[Account_ID],A36),0))</f>
        <v/>
      </c>
      <c r="L36" s="5">
        <f>IF(A36="","",IF(IFERROR(XLOOKUP(A36,tblAccounts[Account_ID],tblAccounts[Include],FALSE),FALSE),SUMIFS(tblAcctSummary[Fees_Base],tblAcctSummary[Account_ID],A36),0))</f>
        <v/>
      </c>
      <c r="M36" s="5">
        <f>IF(A36="","",IF(IFERROR(XLOOKUP(A36,tblAccounts[Account_ID],tblAccounts[Include],FALSE),FALSE),SUMIFS(tblAcctSummary[Taxes_Base],tblAcctSummary[Account_ID],A36),0))</f>
        <v/>
      </c>
      <c r="N36" s="5">
        <f>IF(A36="","",IF(IFERROR(XLOOKUP(A36,tblAccounts[Account_ID],tblAccounts[Include],FALSE),FALSE),IFERROR(SUMPRODUCT(tblAcctSummary[Return_Period],tblAcctSummary[Begin_Balance_Base],--(tblAcctSummary[Account_ID]=A36))/IF(SUMIFS(tblAcctSummary[Begin_Balance_Base],tblAcctSummary[Account_ID],A36)=0,NA(),SUMIFS(tblAcctSummary[Begin_Balance_Base],tblAcctSummary[Account_ID],A36)),0),0))</f>
        <v/>
      </c>
    </row>
    <row r="37">
      <c r="A37" s="5">
        <f>IFERROR(INDEX(tblAccounts[Account_ID],34),"")</f>
        <v/>
      </c>
      <c r="B37" s="5">
        <f>IF(A37="","",IFERROR(XLOOKUP(A37,tblAccounts[Account_ID],tblAccounts[Account_Name],""),""))</f>
        <v/>
      </c>
      <c r="C37" s="5">
        <f>IF(A37="","",IFERROR(XLOOKUP(A37,tblAccounts[Account_ID],tblAccounts[Household_ID],""),""))</f>
        <v/>
      </c>
      <c r="D37" s="5">
        <f>IF(A37="","",IF(IFERROR(XLOOKUP(A37,tblAccounts[Account_ID],tblAccounts[Include],FALSE),FALSE),SUMIFS(tblAcctSummary[Begin_Balance_Base],tblAcctSummary[Account_ID],A37),0))</f>
        <v/>
      </c>
      <c r="E37" s="5">
        <f>IF(A37="","",IF(IFERROR(XLOOKUP(A37,tblAccounts[Account_ID],tblAccounts[Include],FALSE),FALSE),SUMIFS(tblAcctSummary[End_Balance_Base],tblAcctSummary[Account_ID],A37),0))</f>
        <v/>
      </c>
      <c r="F37" s="5">
        <f>IF(A37="","",IF(IFERROR(XLOOKUP(A37,tblAccounts[Account_ID],tblAccounts[Include],FALSE),FALSE),SUMIFS(tblAcctSummary[Net_Contrib_Base],tblAcctSummary[Account_ID],A37),0))</f>
        <v/>
      </c>
      <c r="G37" s="5">
        <f>IF(A37="","",IF(IFERROR(XLOOKUP(A37,tblAccounts[Account_ID],tblAccounts[Include],FALSE),FALSE),SUMIFS(tblAcctSummary[Income_Interest_Base],tblAcctSummary[Account_ID],A37),0))</f>
        <v/>
      </c>
      <c r="H37" s="5">
        <f>IF(A37="","",IF(IFERROR(XLOOKUP(A37,tblAccounts[Account_ID],tblAccounts[Include],FALSE),FALSE),SUMIFS(tblAcctSummary[Income_Dividends_Base],tblAcctSummary[Account_ID],A37),0))</f>
        <v/>
      </c>
      <c r="I37" s="5">
        <f>IF(A37="","",IF(IFERROR(XLOOKUP(A37,tblAccounts[Account_ID],tblAccounts[Include],FALSE),FALSE),SUMIFS(tblAcctSummary[Income_Other_Base],tblAcctSummary[Account_ID],A37),0))</f>
        <v/>
      </c>
      <c r="J37" s="5">
        <f>IF(A37="","",SUM(G37:I37))</f>
        <v/>
      </c>
      <c r="K37" s="5">
        <f>IF(A37="","",IF(IFERROR(XLOOKUP(A37,tblAccounts[Account_ID],tblAccounts[Include],FALSE),FALSE),SUMIFS(tblAcctSummary[Realized_GL_Base],tblAcctSummary[Account_ID],A37),0))</f>
        <v/>
      </c>
      <c r="L37" s="5">
        <f>IF(A37="","",IF(IFERROR(XLOOKUP(A37,tblAccounts[Account_ID],tblAccounts[Include],FALSE),FALSE),SUMIFS(tblAcctSummary[Fees_Base],tblAcctSummary[Account_ID],A37),0))</f>
        <v/>
      </c>
      <c r="M37" s="5">
        <f>IF(A37="","",IF(IFERROR(XLOOKUP(A37,tblAccounts[Account_ID],tblAccounts[Include],FALSE),FALSE),SUMIFS(tblAcctSummary[Taxes_Base],tblAcctSummary[Account_ID],A37),0))</f>
        <v/>
      </c>
      <c r="N37" s="5">
        <f>IF(A37="","",IF(IFERROR(XLOOKUP(A37,tblAccounts[Account_ID],tblAccounts[Include],FALSE),FALSE),IFERROR(SUMPRODUCT(tblAcctSummary[Return_Period],tblAcctSummary[Begin_Balance_Base],--(tblAcctSummary[Account_ID]=A37))/IF(SUMIFS(tblAcctSummary[Begin_Balance_Base],tblAcctSummary[Account_ID],A37)=0,NA(),SUMIFS(tblAcctSummary[Begin_Balance_Base],tblAcctSummary[Account_ID],A37)),0),0))</f>
        <v/>
      </c>
    </row>
    <row r="38">
      <c r="A38" s="5">
        <f>IFERROR(INDEX(tblAccounts[Account_ID],35),"")</f>
        <v/>
      </c>
      <c r="B38" s="5">
        <f>IF(A38="","",IFERROR(XLOOKUP(A38,tblAccounts[Account_ID],tblAccounts[Account_Name],""),""))</f>
        <v/>
      </c>
      <c r="C38" s="5">
        <f>IF(A38="","",IFERROR(XLOOKUP(A38,tblAccounts[Account_ID],tblAccounts[Household_ID],""),""))</f>
        <v/>
      </c>
      <c r="D38" s="5">
        <f>IF(A38="","",IF(IFERROR(XLOOKUP(A38,tblAccounts[Account_ID],tblAccounts[Include],FALSE),FALSE),SUMIFS(tblAcctSummary[Begin_Balance_Base],tblAcctSummary[Account_ID],A38),0))</f>
        <v/>
      </c>
      <c r="E38" s="5">
        <f>IF(A38="","",IF(IFERROR(XLOOKUP(A38,tblAccounts[Account_ID],tblAccounts[Include],FALSE),FALSE),SUMIFS(tblAcctSummary[End_Balance_Base],tblAcctSummary[Account_ID],A38),0))</f>
        <v/>
      </c>
      <c r="F38" s="5">
        <f>IF(A38="","",IF(IFERROR(XLOOKUP(A38,tblAccounts[Account_ID],tblAccounts[Include],FALSE),FALSE),SUMIFS(tblAcctSummary[Net_Contrib_Base],tblAcctSummary[Account_ID],A38),0))</f>
        <v/>
      </c>
      <c r="G38" s="5">
        <f>IF(A38="","",IF(IFERROR(XLOOKUP(A38,tblAccounts[Account_ID],tblAccounts[Include],FALSE),FALSE),SUMIFS(tblAcctSummary[Income_Interest_Base],tblAcctSummary[Account_ID],A38),0))</f>
        <v/>
      </c>
      <c r="H38" s="5">
        <f>IF(A38="","",IF(IFERROR(XLOOKUP(A38,tblAccounts[Account_ID],tblAccounts[Include],FALSE),FALSE),SUMIFS(tblAcctSummary[Income_Dividends_Base],tblAcctSummary[Account_ID],A38),0))</f>
        <v/>
      </c>
      <c r="I38" s="5">
        <f>IF(A38="","",IF(IFERROR(XLOOKUP(A38,tblAccounts[Account_ID],tblAccounts[Include],FALSE),FALSE),SUMIFS(tblAcctSummary[Income_Other_Base],tblAcctSummary[Account_ID],A38),0))</f>
        <v/>
      </c>
      <c r="J38" s="5">
        <f>IF(A38="","",SUM(G38:I38))</f>
        <v/>
      </c>
      <c r="K38" s="5">
        <f>IF(A38="","",IF(IFERROR(XLOOKUP(A38,tblAccounts[Account_ID],tblAccounts[Include],FALSE),FALSE),SUMIFS(tblAcctSummary[Realized_GL_Base],tblAcctSummary[Account_ID],A38),0))</f>
        <v/>
      </c>
      <c r="L38" s="5">
        <f>IF(A38="","",IF(IFERROR(XLOOKUP(A38,tblAccounts[Account_ID],tblAccounts[Include],FALSE),FALSE),SUMIFS(tblAcctSummary[Fees_Base],tblAcctSummary[Account_ID],A38),0))</f>
        <v/>
      </c>
      <c r="M38" s="5">
        <f>IF(A38="","",IF(IFERROR(XLOOKUP(A38,tblAccounts[Account_ID],tblAccounts[Include],FALSE),FALSE),SUMIFS(tblAcctSummary[Taxes_Base],tblAcctSummary[Account_ID],A38),0))</f>
        <v/>
      </c>
      <c r="N38" s="5">
        <f>IF(A38="","",IF(IFERROR(XLOOKUP(A38,tblAccounts[Account_ID],tblAccounts[Include],FALSE),FALSE),IFERROR(SUMPRODUCT(tblAcctSummary[Return_Period],tblAcctSummary[Begin_Balance_Base],--(tblAcctSummary[Account_ID]=A38))/IF(SUMIFS(tblAcctSummary[Begin_Balance_Base],tblAcctSummary[Account_ID],A38)=0,NA(),SUMIFS(tblAcctSummary[Begin_Balance_Base],tblAcctSummary[Account_ID],A38)),0),0))</f>
        <v/>
      </c>
    </row>
    <row r="39">
      <c r="A39" s="5">
        <f>IFERROR(INDEX(tblAccounts[Account_ID],36),"")</f>
        <v/>
      </c>
      <c r="B39" s="5">
        <f>IF(A39="","",IFERROR(XLOOKUP(A39,tblAccounts[Account_ID],tblAccounts[Account_Name],""),""))</f>
        <v/>
      </c>
      <c r="C39" s="5">
        <f>IF(A39="","",IFERROR(XLOOKUP(A39,tblAccounts[Account_ID],tblAccounts[Household_ID],""),""))</f>
        <v/>
      </c>
      <c r="D39" s="5">
        <f>IF(A39="","",IF(IFERROR(XLOOKUP(A39,tblAccounts[Account_ID],tblAccounts[Include],FALSE),FALSE),SUMIFS(tblAcctSummary[Begin_Balance_Base],tblAcctSummary[Account_ID],A39),0))</f>
        <v/>
      </c>
      <c r="E39" s="5">
        <f>IF(A39="","",IF(IFERROR(XLOOKUP(A39,tblAccounts[Account_ID],tblAccounts[Include],FALSE),FALSE),SUMIFS(tblAcctSummary[End_Balance_Base],tblAcctSummary[Account_ID],A39),0))</f>
        <v/>
      </c>
      <c r="F39" s="5">
        <f>IF(A39="","",IF(IFERROR(XLOOKUP(A39,tblAccounts[Account_ID],tblAccounts[Include],FALSE),FALSE),SUMIFS(tblAcctSummary[Net_Contrib_Base],tblAcctSummary[Account_ID],A39),0))</f>
        <v/>
      </c>
      <c r="G39" s="5">
        <f>IF(A39="","",IF(IFERROR(XLOOKUP(A39,tblAccounts[Account_ID],tblAccounts[Include],FALSE),FALSE),SUMIFS(tblAcctSummary[Income_Interest_Base],tblAcctSummary[Account_ID],A39),0))</f>
        <v/>
      </c>
      <c r="H39" s="5">
        <f>IF(A39="","",IF(IFERROR(XLOOKUP(A39,tblAccounts[Account_ID],tblAccounts[Include],FALSE),FALSE),SUMIFS(tblAcctSummary[Income_Dividends_Base],tblAcctSummary[Account_ID],A39),0))</f>
        <v/>
      </c>
      <c r="I39" s="5">
        <f>IF(A39="","",IF(IFERROR(XLOOKUP(A39,tblAccounts[Account_ID],tblAccounts[Include],FALSE),FALSE),SUMIFS(tblAcctSummary[Income_Other_Base],tblAcctSummary[Account_ID],A39),0))</f>
        <v/>
      </c>
      <c r="J39" s="5">
        <f>IF(A39="","",SUM(G39:I39))</f>
        <v/>
      </c>
      <c r="K39" s="5">
        <f>IF(A39="","",IF(IFERROR(XLOOKUP(A39,tblAccounts[Account_ID],tblAccounts[Include],FALSE),FALSE),SUMIFS(tblAcctSummary[Realized_GL_Base],tblAcctSummary[Account_ID],A39),0))</f>
        <v/>
      </c>
      <c r="L39" s="5">
        <f>IF(A39="","",IF(IFERROR(XLOOKUP(A39,tblAccounts[Account_ID],tblAccounts[Include],FALSE),FALSE),SUMIFS(tblAcctSummary[Fees_Base],tblAcctSummary[Account_ID],A39),0))</f>
        <v/>
      </c>
      <c r="M39" s="5">
        <f>IF(A39="","",IF(IFERROR(XLOOKUP(A39,tblAccounts[Account_ID],tblAccounts[Include],FALSE),FALSE),SUMIFS(tblAcctSummary[Taxes_Base],tblAcctSummary[Account_ID],A39),0))</f>
        <v/>
      </c>
      <c r="N39" s="5">
        <f>IF(A39="","",IF(IFERROR(XLOOKUP(A39,tblAccounts[Account_ID],tblAccounts[Include],FALSE),FALSE),IFERROR(SUMPRODUCT(tblAcctSummary[Return_Period],tblAcctSummary[Begin_Balance_Base],--(tblAcctSummary[Account_ID]=A39))/IF(SUMIFS(tblAcctSummary[Begin_Balance_Base],tblAcctSummary[Account_ID],A39)=0,NA(),SUMIFS(tblAcctSummary[Begin_Balance_Base],tblAcctSummary[Account_ID],A39)),0),0))</f>
        <v/>
      </c>
    </row>
    <row r="40">
      <c r="A40" s="5">
        <f>IFERROR(INDEX(tblAccounts[Account_ID],37),"")</f>
        <v/>
      </c>
      <c r="B40" s="5">
        <f>IF(A40="","",IFERROR(XLOOKUP(A40,tblAccounts[Account_ID],tblAccounts[Account_Name],""),""))</f>
        <v/>
      </c>
      <c r="C40" s="5">
        <f>IF(A40="","",IFERROR(XLOOKUP(A40,tblAccounts[Account_ID],tblAccounts[Household_ID],""),""))</f>
        <v/>
      </c>
      <c r="D40" s="5">
        <f>IF(A40="","",IF(IFERROR(XLOOKUP(A40,tblAccounts[Account_ID],tblAccounts[Include],FALSE),FALSE),SUMIFS(tblAcctSummary[Begin_Balance_Base],tblAcctSummary[Account_ID],A40),0))</f>
        <v/>
      </c>
      <c r="E40" s="5">
        <f>IF(A40="","",IF(IFERROR(XLOOKUP(A40,tblAccounts[Account_ID],tblAccounts[Include],FALSE),FALSE),SUMIFS(tblAcctSummary[End_Balance_Base],tblAcctSummary[Account_ID],A40),0))</f>
        <v/>
      </c>
      <c r="F40" s="5">
        <f>IF(A40="","",IF(IFERROR(XLOOKUP(A40,tblAccounts[Account_ID],tblAccounts[Include],FALSE),FALSE),SUMIFS(tblAcctSummary[Net_Contrib_Base],tblAcctSummary[Account_ID],A40),0))</f>
        <v/>
      </c>
      <c r="G40" s="5">
        <f>IF(A40="","",IF(IFERROR(XLOOKUP(A40,tblAccounts[Account_ID],tblAccounts[Include],FALSE),FALSE),SUMIFS(tblAcctSummary[Income_Interest_Base],tblAcctSummary[Account_ID],A40),0))</f>
        <v/>
      </c>
      <c r="H40" s="5">
        <f>IF(A40="","",IF(IFERROR(XLOOKUP(A40,tblAccounts[Account_ID],tblAccounts[Include],FALSE),FALSE),SUMIFS(tblAcctSummary[Income_Dividends_Base],tblAcctSummary[Account_ID],A40),0))</f>
        <v/>
      </c>
      <c r="I40" s="5">
        <f>IF(A40="","",IF(IFERROR(XLOOKUP(A40,tblAccounts[Account_ID],tblAccounts[Include],FALSE),FALSE),SUMIFS(tblAcctSummary[Income_Other_Base],tblAcctSummary[Account_ID],A40),0))</f>
        <v/>
      </c>
      <c r="J40" s="5">
        <f>IF(A40="","",SUM(G40:I40))</f>
        <v/>
      </c>
      <c r="K40" s="5">
        <f>IF(A40="","",IF(IFERROR(XLOOKUP(A40,tblAccounts[Account_ID],tblAccounts[Include],FALSE),FALSE),SUMIFS(tblAcctSummary[Realized_GL_Base],tblAcctSummary[Account_ID],A40),0))</f>
        <v/>
      </c>
      <c r="L40" s="5">
        <f>IF(A40="","",IF(IFERROR(XLOOKUP(A40,tblAccounts[Account_ID],tblAccounts[Include],FALSE),FALSE),SUMIFS(tblAcctSummary[Fees_Base],tblAcctSummary[Account_ID],A40),0))</f>
        <v/>
      </c>
      <c r="M40" s="5">
        <f>IF(A40="","",IF(IFERROR(XLOOKUP(A40,tblAccounts[Account_ID],tblAccounts[Include],FALSE),FALSE),SUMIFS(tblAcctSummary[Taxes_Base],tblAcctSummary[Account_ID],A40),0))</f>
        <v/>
      </c>
      <c r="N40" s="5">
        <f>IF(A40="","",IF(IFERROR(XLOOKUP(A40,tblAccounts[Account_ID],tblAccounts[Include],FALSE),FALSE),IFERROR(SUMPRODUCT(tblAcctSummary[Return_Period],tblAcctSummary[Begin_Balance_Base],--(tblAcctSummary[Account_ID]=A40))/IF(SUMIFS(tblAcctSummary[Begin_Balance_Base],tblAcctSummary[Account_ID],A40)=0,NA(),SUMIFS(tblAcctSummary[Begin_Balance_Base],tblAcctSummary[Account_ID],A40)),0),0))</f>
        <v/>
      </c>
    </row>
    <row r="41">
      <c r="A41" s="5">
        <f>IFERROR(INDEX(tblAccounts[Account_ID],38),"")</f>
        <v/>
      </c>
      <c r="B41" s="5">
        <f>IF(A41="","",IFERROR(XLOOKUP(A41,tblAccounts[Account_ID],tblAccounts[Account_Name],""),""))</f>
        <v/>
      </c>
      <c r="C41" s="5">
        <f>IF(A41="","",IFERROR(XLOOKUP(A41,tblAccounts[Account_ID],tblAccounts[Household_ID],""),""))</f>
        <v/>
      </c>
      <c r="D41" s="5">
        <f>IF(A41="","",IF(IFERROR(XLOOKUP(A41,tblAccounts[Account_ID],tblAccounts[Include],FALSE),FALSE),SUMIFS(tblAcctSummary[Begin_Balance_Base],tblAcctSummary[Account_ID],A41),0))</f>
        <v/>
      </c>
      <c r="E41" s="5">
        <f>IF(A41="","",IF(IFERROR(XLOOKUP(A41,tblAccounts[Account_ID],tblAccounts[Include],FALSE),FALSE),SUMIFS(tblAcctSummary[End_Balance_Base],tblAcctSummary[Account_ID],A41),0))</f>
        <v/>
      </c>
      <c r="F41" s="5">
        <f>IF(A41="","",IF(IFERROR(XLOOKUP(A41,tblAccounts[Account_ID],tblAccounts[Include],FALSE),FALSE),SUMIFS(tblAcctSummary[Net_Contrib_Base],tblAcctSummary[Account_ID],A41),0))</f>
        <v/>
      </c>
      <c r="G41" s="5">
        <f>IF(A41="","",IF(IFERROR(XLOOKUP(A41,tblAccounts[Account_ID],tblAccounts[Include],FALSE),FALSE),SUMIFS(tblAcctSummary[Income_Interest_Base],tblAcctSummary[Account_ID],A41),0))</f>
        <v/>
      </c>
      <c r="H41" s="5">
        <f>IF(A41="","",IF(IFERROR(XLOOKUP(A41,tblAccounts[Account_ID],tblAccounts[Include],FALSE),FALSE),SUMIFS(tblAcctSummary[Income_Dividends_Base],tblAcctSummary[Account_ID],A41),0))</f>
        <v/>
      </c>
      <c r="I41" s="5">
        <f>IF(A41="","",IF(IFERROR(XLOOKUP(A41,tblAccounts[Account_ID],tblAccounts[Include],FALSE),FALSE),SUMIFS(tblAcctSummary[Income_Other_Base],tblAcctSummary[Account_ID],A41),0))</f>
        <v/>
      </c>
      <c r="J41" s="5">
        <f>IF(A41="","",SUM(G41:I41))</f>
        <v/>
      </c>
      <c r="K41" s="5">
        <f>IF(A41="","",IF(IFERROR(XLOOKUP(A41,tblAccounts[Account_ID],tblAccounts[Include],FALSE),FALSE),SUMIFS(tblAcctSummary[Realized_GL_Base],tblAcctSummary[Account_ID],A41),0))</f>
        <v/>
      </c>
      <c r="L41" s="5">
        <f>IF(A41="","",IF(IFERROR(XLOOKUP(A41,tblAccounts[Account_ID],tblAccounts[Include],FALSE),FALSE),SUMIFS(tblAcctSummary[Fees_Base],tblAcctSummary[Account_ID],A41),0))</f>
        <v/>
      </c>
      <c r="M41" s="5">
        <f>IF(A41="","",IF(IFERROR(XLOOKUP(A41,tblAccounts[Account_ID],tblAccounts[Include],FALSE),FALSE),SUMIFS(tblAcctSummary[Taxes_Base],tblAcctSummary[Account_ID],A41),0))</f>
        <v/>
      </c>
      <c r="N41" s="5">
        <f>IF(A41="","",IF(IFERROR(XLOOKUP(A41,tblAccounts[Account_ID],tblAccounts[Include],FALSE),FALSE),IFERROR(SUMPRODUCT(tblAcctSummary[Return_Period],tblAcctSummary[Begin_Balance_Base],--(tblAcctSummary[Account_ID]=A41))/IF(SUMIFS(tblAcctSummary[Begin_Balance_Base],tblAcctSummary[Account_ID],A41)=0,NA(),SUMIFS(tblAcctSummary[Begin_Balance_Base],tblAcctSummary[Account_ID],A41)),0),0))</f>
        <v/>
      </c>
    </row>
    <row r="42">
      <c r="A42" s="5">
        <f>IFERROR(INDEX(tblAccounts[Account_ID],39),"")</f>
        <v/>
      </c>
      <c r="B42" s="5">
        <f>IF(A42="","",IFERROR(XLOOKUP(A42,tblAccounts[Account_ID],tblAccounts[Account_Name],""),""))</f>
        <v/>
      </c>
      <c r="C42" s="5">
        <f>IF(A42="","",IFERROR(XLOOKUP(A42,tblAccounts[Account_ID],tblAccounts[Household_ID],""),""))</f>
        <v/>
      </c>
      <c r="D42" s="5">
        <f>IF(A42="","",IF(IFERROR(XLOOKUP(A42,tblAccounts[Account_ID],tblAccounts[Include],FALSE),FALSE),SUMIFS(tblAcctSummary[Begin_Balance_Base],tblAcctSummary[Account_ID],A42),0))</f>
        <v/>
      </c>
      <c r="E42" s="5">
        <f>IF(A42="","",IF(IFERROR(XLOOKUP(A42,tblAccounts[Account_ID],tblAccounts[Include],FALSE),FALSE),SUMIFS(tblAcctSummary[End_Balance_Base],tblAcctSummary[Account_ID],A42),0))</f>
        <v/>
      </c>
      <c r="F42" s="5">
        <f>IF(A42="","",IF(IFERROR(XLOOKUP(A42,tblAccounts[Account_ID],tblAccounts[Include],FALSE),FALSE),SUMIFS(tblAcctSummary[Net_Contrib_Base],tblAcctSummary[Account_ID],A42),0))</f>
        <v/>
      </c>
      <c r="G42" s="5">
        <f>IF(A42="","",IF(IFERROR(XLOOKUP(A42,tblAccounts[Account_ID],tblAccounts[Include],FALSE),FALSE),SUMIFS(tblAcctSummary[Income_Interest_Base],tblAcctSummary[Account_ID],A42),0))</f>
        <v/>
      </c>
      <c r="H42" s="5">
        <f>IF(A42="","",IF(IFERROR(XLOOKUP(A42,tblAccounts[Account_ID],tblAccounts[Include],FALSE),FALSE),SUMIFS(tblAcctSummary[Income_Dividends_Base],tblAcctSummary[Account_ID],A42),0))</f>
        <v/>
      </c>
      <c r="I42" s="5">
        <f>IF(A42="","",IF(IFERROR(XLOOKUP(A42,tblAccounts[Account_ID],tblAccounts[Include],FALSE),FALSE),SUMIFS(tblAcctSummary[Income_Other_Base],tblAcctSummary[Account_ID],A42),0))</f>
        <v/>
      </c>
      <c r="J42" s="5">
        <f>IF(A42="","",SUM(G42:I42))</f>
        <v/>
      </c>
      <c r="K42" s="5">
        <f>IF(A42="","",IF(IFERROR(XLOOKUP(A42,tblAccounts[Account_ID],tblAccounts[Include],FALSE),FALSE),SUMIFS(tblAcctSummary[Realized_GL_Base],tblAcctSummary[Account_ID],A42),0))</f>
        <v/>
      </c>
      <c r="L42" s="5">
        <f>IF(A42="","",IF(IFERROR(XLOOKUP(A42,tblAccounts[Account_ID],tblAccounts[Include],FALSE),FALSE),SUMIFS(tblAcctSummary[Fees_Base],tblAcctSummary[Account_ID],A42),0))</f>
        <v/>
      </c>
      <c r="M42" s="5">
        <f>IF(A42="","",IF(IFERROR(XLOOKUP(A42,tblAccounts[Account_ID],tblAccounts[Include],FALSE),FALSE),SUMIFS(tblAcctSummary[Taxes_Base],tblAcctSummary[Account_ID],A42),0))</f>
        <v/>
      </c>
      <c r="N42" s="5">
        <f>IF(A42="","",IF(IFERROR(XLOOKUP(A42,tblAccounts[Account_ID],tblAccounts[Include],FALSE),FALSE),IFERROR(SUMPRODUCT(tblAcctSummary[Return_Period],tblAcctSummary[Begin_Balance_Base],--(tblAcctSummary[Account_ID]=A42))/IF(SUMIFS(tblAcctSummary[Begin_Balance_Base],tblAcctSummary[Account_ID],A42)=0,NA(),SUMIFS(tblAcctSummary[Begin_Balance_Base],tblAcctSummary[Account_ID],A42)),0),0))</f>
        <v/>
      </c>
    </row>
    <row r="43">
      <c r="A43" s="5">
        <f>IFERROR(INDEX(tblAccounts[Account_ID],40),"")</f>
        <v/>
      </c>
      <c r="B43" s="5">
        <f>IF(A43="","",IFERROR(XLOOKUP(A43,tblAccounts[Account_ID],tblAccounts[Account_Name],""),""))</f>
        <v/>
      </c>
      <c r="C43" s="5">
        <f>IF(A43="","",IFERROR(XLOOKUP(A43,tblAccounts[Account_ID],tblAccounts[Household_ID],""),""))</f>
        <v/>
      </c>
      <c r="D43" s="5">
        <f>IF(A43="","",IF(IFERROR(XLOOKUP(A43,tblAccounts[Account_ID],tblAccounts[Include],FALSE),FALSE),SUMIFS(tblAcctSummary[Begin_Balance_Base],tblAcctSummary[Account_ID],A43),0))</f>
        <v/>
      </c>
      <c r="E43" s="5">
        <f>IF(A43="","",IF(IFERROR(XLOOKUP(A43,tblAccounts[Account_ID],tblAccounts[Include],FALSE),FALSE),SUMIFS(tblAcctSummary[End_Balance_Base],tblAcctSummary[Account_ID],A43),0))</f>
        <v/>
      </c>
      <c r="F43" s="5">
        <f>IF(A43="","",IF(IFERROR(XLOOKUP(A43,tblAccounts[Account_ID],tblAccounts[Include],FALSE),FALSE),SUMIFS(tblAcctSummary[Net_Contrib_Base],tblAcctSummary[Account_ID],A43),0))</f>
        <v/>
      </c>
      <c r="G43" s="5">
        <f>IF(A43="","",IF(IFERROR(XLOOKUP(A43,tblAccounts[Account_ID],tblAccounts[Include],FALSE),FALSE),SUMIFS(tblAcctSummary[Income_Interest_Base],tblAcctSummary[Account_ID],A43),0))</f>
        <v/>
      </c>
      <c r="H43" s="5">
        <f>IF(A43="","",IF(IFERROR(XLOOKUP(A43,tblAccounts[Account_ID],tblAccounts[Include],FALSE),FALSE),SUMIFS(tblAcctSummary[Income_Dividends_Base],tblAcctSummary[Account_ID],A43),0))</f>
        <v/>
      </c>
      <c r="I43" s="5">
        <f>IF(A43="","",IF(IFERROR(XLOOKUP(A43,tblAccounts[Account_ID],tblAccounts[Include],FALSE),FALSE),SUMIFS(tblAcctSummary[Income_Other_Base],tblAcctSummary[Account_ID],A43),0))</f>
        <v/>
      </c>
      <c r="J43" s="5">
        <f>IF(A43="","",SUM(G43:I43))</f>
        <v/>
      </c>
      <c r="K43" s="5">
        <f>IF(A43="","",IF(IFERROR(XLOOKUP(A43,tblAccounts[Account_ID],tblAccounts[Include],FALSE),FALSE),SUMIFS(tblAcctSummary[Realized_GL_Base],tblAcctSummary[Account_ID],A43),0))</f>
        <v/>
      </c>
      <c r="L43" s="5">
        <f>IF(A43="","",IF(IFERROR(XLOOKUP(A43,tblAccounts[Account_ID],tblAccounts[Include],FALSE),FALSE),SUMIFS(tblAcctSummary[Fees_Base],tblAcctSummary[Account_ID],A43),0))</f>
        <v/>
      </c>
      <c r="M43" s="5">
        <f>IF(A43="","",IF(IFERROR(XLOOKUP(A43,tblAccounts[Account_ID],tblAccounts[Include],FALSE),FALSE),SUMIFS(tblAcctSummary[Taxes_Base],tblAcctSummary[Account_ID],A43),0))</f>
        <v/>
      </c>
      <c r="N43" s="5">
        <f>IF(A43="","",IF(IFERROR(XLOOKUP(A43,tblAccounts[Account_ID],tblAccounts[Include],FALSE),FALSE),IFERROR(SUMPRODUCT(tblAcctSummary[Return_Period],tblAcctSummary[Begin_Balance_Base],--(tblAcctSummary[Account_ID]=A43))/IF(SUMIFS(tblAcctSummary[Begin_Balance_Base],tblAcctSummary[Account_ID],A43)=0,NA(),SUMIFS(tblAcctSummary[Begin_Balance_Base],tblAcctSummary[Account_ID],A43)),0),0))</f>
        <v/>
      </c>
    </row>
    <row r="44">
      <c r="A44" s="5">
        <f>IFERROR(INDEX(tblAccounts[Account_ID],41),"")</f>
        <v/>
      </c>
      <c r="B44" s="5">
        <f>IF(A44="","",IFERROR(XLOOKUP(A44,tblAccounts[Account_ID],tblAccounts[Account_Name],""),""))</f>
        <v/>
      </c>
      <c r="C44" s="5">
        <f>IF(A44="","",IFERROR(XLOOKUP(A44,tblAccounts[Account_ID],tblAccounts[Household_ID],""),""))</f>
        <v/>
      </c>
      <c r="D44" s="5">
        <f>IF(A44="","",IF(IFERROR(XLOOKUP(A44,tblAccounts[Account_ID],tblAccounts[Include],FALSE),FALSE),SUMIFS(tblAcctSummary[Begin_Balance_Base],tblAcctSummary[Account_ID],A44),0))</f>
        <v/>
      </c>
      <c r="E44" s="5">
        <f>IF(A44="","",IF(IFERROR(XLOOKUP(A44,tblAccounts[Account_ID],tblAccounts[Include],FALSE),FALSE),SUMIFS(tblAcctSummary[End_Balance_Base],tblAcctSummary[Account_ID],A44),0))</f>
        <v/>
      </c>
      <c r="F44" s="5">
        <f>IF(A44="","",IF(IFERROR(XLOOKUP(A44,tblAccounts[Account_ID],tblAccounts[Include],FALSE),FALSE),SUMIFS(tblAcctSummary[Net_Contrib_Base],tblAcctSummary[Account_ID],A44),0))</f>
        <v/>
      </c>
      <c r="G44" s="5">
        <f>IF(A44="","",IF(IFERROR(XLOOKUP(A44,tblAccounts[Account_ID],tblAccounts[Include],FALSE),FALSE),SUMIFS(tblAcctSummary[Income_Interest_Base],tblAcctSummary[Account_ID],A44),0))</f>
        <v/>
      </c>
      <c r="H44" s="5">
        <f>IF(A44="","",IF(IFERROR(XLOOKUP(A44,tblAccounts[Account_ID],tblAccounts[Include],FALSE),FALSE),SUMIFS(tblAcctSummary[Income_Dividends_Base],tblAcctSummary[Account_ID],A44),0))</f>
        <v/>
      </c>
      <c r="I44" s="5">
        <f>IF(A44="","",IF(IFERROR(XLOOKUP(A44,tblAccounts[Account_ID],tblAccounts[Include],FALSE),FALSE),SUMIFS(tblAcctSummary[Income_Other_Base],tblAcctSummary[Account_ID],A44),0))</f>
        <v/>
      </c>
      <c r="J44" s="5">
        <f>IF(A44="","",SUM(G44:I44))</f>
        <v/>
      </c>
      <c r="K44" s="5">
        <f>IF(A44="","",IF(IFERROR(XLOOKUP(A44,tblAccounts[Account_ID],tblAccounts[Include],FALSE),FALSE),SUMIFS(tblAcctSummary[Realized_GL_Base],tblAcctSummary[Account_ID],A44),0))</f>
        <v/>
      </c>
      <c r="L44" s="5">
        <f>IF(A44="","",IF(IFERROR(XLOOKUP(A44,tblAccounts[Account_ID],tblAccounts[Include],FALSE),FALSE),SUMIFS(tblAcctSummary[Fees_Base],tblAcctSummary[Account_ID],A44),0))</f>
        <v/>
      </c>
      <c r="M44" s="5">
        <f>IF(A44="","",IF(IFERROR(XLOOKUP(A44,tblAccounts[Account_ID],tblAccounts[Include],FALSE),FALSE),SUMIFS(tblAcctSummary[Taxes_Base],tblAcctSummary[Account_ID],A44),0))</f>
        <v/>
      </c>
      <c r="N44" s="5">
        <f>IF(A44="","",IF(IFERROR(XLOOKUP(A44,tblAccounts[Account_ID],tblAccounts[Include],FALSE),FALSE),IFERROR(SUMPRODUCT(tblAcctSummary[Return_Period],tblAcctSummary[Begin_Balance_Base],--(tblAcctSummary[Account_ID]=A44))/IF(SUMIFS(tblAcctSummary[Begin_Balance_Base],tblAcctSummary[Account_ID],A44)=0,NA(),SUMIFS(tblAcctSummary[Begin_Balance_Base],tblAcctSummary[Account_ID],A44)),0),0))</f>
        <v/>
      </c>
    </row>
    <row r="45">
      <c r="A45" s="5">
        <f>IFERROR(INDEX(tblAccounts[Account_ID],42),"")</f>
        <v/>
      </c>
      <c r="B45" s="5">
        <f>IF(A45="","",IFERROR(XLOOKUP(A45,tblAccounts[Account_ID],tblAccounts[Account_Name],""),""))</f>
        <v/>
      </c>
      <c r="C45" s="5">
        <f>IF(A45="","",IFERROR(XLOOKUP(A45,tblAccounts[Account_ID],tblAccounts[Household_ID],""),""))</f>
        <v/>
      </c>
      <c r="D45" s="5">
        <f>IF(A45="","",IF(IFERROR(XLOOKUP(A45,tblAccounts[Account_ID],tblAccounts[Include],FALSE),FALSE),SUMIFS(tblAcctSummary[Begin_Balance_Base],tblAcctSummary[Account_ID],A45),0))</f>
        <v/>
      </c>
      <c r="E45" s="5">
        <f>IF(A45="","",IF(IFERROR(XLOOKUP(A45,tblAccounts[Account_ID],tblAccounts[Include],FALSE),FALSE),SUMIFS(tblAcctSummary[End_Balance_Base],tblAcctSummary[Account_ID],A45),0))</f>
        <v/>
      </c>
      <c r="F45" s="5">
        <f>IF(A45="","",IF(IFERROR(XLOOKUP(A45,tblAccounts[Account_ID],tblAccounts[Include],FALSE),FALSE),SUMIFS(tblAcctSummary[Net_Contrib_Base],tblAcctSummary[Account_ID],A45),0))</f>
        <v/>
      </c>
      <c r="G45" s="5">
        <f>IF(A45="","",IF(IFERROR(XLOOKUP(A45,tblAccounts[Account_ID],tblAccounts[Include],FALSE),FALSE),SUMIFS(tblAcctSummary[Income_Interest_Base],tblAcctSummary[Account_ID],A45),0))</f>
        <v/>
      </c>
      <c r="H45" s="5">
        <f>IF(A45="","",IF(IFERROR(XLOOKUP(A45,tblAccounts[Account_ID],tblAccounts[Include],FALSE),FALSE),SUMIFS(tblAcctSummary[Income_Dividends_Base],tblAcctSummary[Account_ID],A45),0))</f>
        <v/>
      </c>
      <c r="I45" s="5">
        <f>IF(A45="","",IF(IFERROR(XLOOKUP(A45,tblAccounts[Account_ID],tblAccounts[Include],FALSE),FALSE),SUMIFS(tblAcctSummary[Income_Other_Base],tblAcctSummary[Account_ID],A45),0))</f>
        <v/>
      </c>
      <c r="J45" s="5">
        <f>IF(A45="","",SUM(G45:I45))</f>
        <v/>
      </c>
      <c r="K45" s="5">
        <f>IF(A45="","",IF(IFERROR(XLOOKUP(A45,tblAccounts[Account_ID],tblAccounts[Include],FALSE),FALSE),SUMIFS(tblAcctSummary[Realized_GL_Base],tblAcctSummary[Account_ID],A45),0))</f>
        <v/>
      </c>
      <c r="L45" s="5">
        <f>IF(A45="","",IF(IFERROR(XLOOKUP(A45,tblAccounts[Account_ID],tblAccounts[Include],FALSE),FALSE),SUMIFS(tblAcctSummary[Fees_Base],tblAcctSummary[Account_ID],A45),0))</f>
        <v/>
      </c>
      <c r="M45" s="5">
        <f>IF(A45="","",IF(IFERROR(XLOOKUP(A45,tblAccounts[Account_ID],tblAccounts[Include],FALSE),FALSE),SUMIFS(tblAcctSummary[Taxes_Base],tblAcctSummary[Account_ID],A45),0))</f>
        <v/>
      </c>
      <c r="N45" s="5">
        <f>IF(A45="","",IF(IFERROR(XLOOKUP(A45,tblAccounts[Account_ID],tblAccounts[Include],FALSE),FALSE),IFERROR(SUMPRODUCT(tblAcctSummary[Return_Period],tblAcctSummary[Begin_Balance_Base],--(tblAcctSummary[Account_ID]=A45))/IF(SUMIFS(tblAcctSummary[Begin_Balance_Base],tblAcctSummary[Account_ID],A45)=0,NA(),SUMIFS(tblAcctSummary[Begin_Balance_Base],tblAcctSummary[Account_ID],A45)),0),0))</f>
        <v/>
      </c>
    </row>
    <row r="46">
      <c r="A46" s="5">
        <f>IFERROR(INDEX(tblAccounts[Account_ID],43),"")</f>
        <v/>
      </c>
      <c r="B46" s="5">
        <f>IF(A46="","",IFERROR(XLOOKUP(A46,tblAccounts[Account_ID],tblAccounts[Account_Name],""),""))</f>
        <v/>
      </c>
      <c r="C46" s="5">
        <f>IF(A46="","",IFERROR(XLOOKUP(A46,tblAccounts[Account_ID],tblAccounts[Household_ID],""),""))</f>
        <v/>
      </c>
      <c r="D46" s="5">
        <f>IF(A46="","",IF(IFERROR(XLOOKUP(A46,tblAccounts[Account_ID],tblAccounts[Include],FALSE),FALSE),SUMIFS(tblAcctSummary[Begin_Balance_Base],tblAcctSummary[Account_ID],A46),0))</f>
        <v/>
      </c>
      <c r="E46" s="5">
        <f>IF(A46="","",IF(IFERROR(XLOOKUP(A46,tblAccounts[Account_ID],tblAccounts[Include],FALSE),FALSE),SUMIFS(tblAcctSummary[End_Balance_Base],tblAcctSummary[Account_ID],A46),0))</f>
        <v/>
      </c>
      <c r="F46" s="5">
        <f>IF(A46="","",IF(IFERROR(XLOOKUP(A46,tblAccounts[Account_ID],tblAccounts[Include],FALSE),FALSE),SUMIFS(tblAcctSummary[Net_Contrib_Base],tblAcctSummary[Account_ID],A46),0))</f>
        <v/>
      </c>
      <c r="G46" s="5">
        <f>IF(A46="","",IF(IFERROR(XLOOKUP(A46,tblAccounts[Account_ID],tblAccounts[Include],FALSE),FALSE),SUMIFS(tblAcctSummary[Income_Interest_Base],tblAcctSummary[Account_ID],A46),0))</f>
        <v/>
      </c>
      <c r="H46" s="5">
        <f>IF(A46="","",IF(IFERROR(XLOOKUP(A46,tblAccounts[Account_ID],tblAccounts[Include],FALSE),FALSE),SUMIFS(tblAcctSummary[Income_Dividends_Base],tblAcctSummary[Account_ID],A46),0))</f>
        <v/>
      </c>
      <c r="I46" s="5">
        <f>IF(A46="","",IF(IFERROR(XLOOKUP(A46,tblAccounts[Account_ID],tblAccounts[Include],FALSE),FALSE),SUMIFS(tblAcctSummary[Income_Other_Base],tblAcctSummary[Account_ID],A46),0))</f>
        <v/>
      </c>
      <c r="J46" s="5">
        <f>IF(A46="","",SUM(G46:I46))</f>
        <v/>
      </c>
      <c r="K46" s="5">
        <f>IF(A46="","",IF(IFERROR(XLOOKUP(A46,tblAccounts[Account_ID],tblAccounts[Include],FALSE),FALSE),SUMIFS(tblAcctSummary[Realized_GL_Base],tblAcctSummary[Account_ID],A46),0))</f>
        <v/>
      </c>
      <c r="L46" s="5">
        <f>IF(A46="","",IF(IFERROR(XLOOKUP(A46,tblAccounts[Account_ID],tblAccounts[Include],FALSE),FALSE),SUMIFS(tblAcctSummary[Fees_Base],tblAcctSummary[Account_ID],A46),0))</f>
        <v/>
      </c>
      <c r="M46" s="5">
        <f>IF(A46="","",IF(IFERROR(XLOOKUP(A46,tblAccounts[Account_ID],tblAccounts[Include],FALSE),FALSE),SUMIFS(tblAcctSummary[Taxes_Base],tblAcctSummary[Account_ID],A46),0))</f>
        <v/>
      </c>
      <c r="N46" s="5">
        <f>IF(A46="","",IF(IFERROR(XLOOKUP(A46,tblAccounts[Account_ID],tblAccounts[Include],FALSE),FALSE),IFERROR(SUMPRODUCT(tblAcctSummary[Return_Period],tblAcctSummary[Begin_Balance_Base],--(tblAcctSummary[Account_ID]=A46))/IF(SUMIFS(tblAcctSummary[Begin_Balance_Base],tblAcctSummary[Account_ID],A46)=0,NA(),SUMIFS(tblAcctSummary[Begin_Balance_Base],tblAcctSummary[Account_ID],A46)),0),0))</f>
        <v/>
      </c>
    </row>
    <row r="47">
      <c r="A47" s="5">
        <f>IFERROR(INDEX(tblAccounts[Account_ID],44),"")</f>
        <v/>
      </c>
      <c r="B47" s="5">
        <f>IF(A47="","",IFERROR(XLOOKUP(A47,tblAccounts[Account_ID],tblAccounts[Account_Name],""),""))</f>
        <v/>
      </c>
      <c r="C47" s="5">
        <f>IF(A47="","",IFERROR(XLOOKUP(A47,tblAccounts[Account_ID],tblAccounts[Household_ID],""),""))</f>
        <v/>
      </c>
      <c r="D47" s="5">
        <f>IF(A47="","",IF(IFERROR(XLOOKUP(A47,tblAccounts[Account_ID],tblAccounts[Include],FALSE),FALSE),SUMIFS(tblAcctSummary[Begin_Balance_Base],tblAcctSummary[Account_ID],A47),0))</f>
        <v/>
      </c>
      <c r="E47" s="5">
        <f>IF(A47="","",IF(IFERROR(XLOOKUP(A47,tblAccounts[Account_ID],tblAccounts[Include],FALSE),FALSE),SUMIFS(tblAcctSummary[End_Balance_Base],tblAcctSummary[Account_ID],A47),0))</f>
        <v/>
      </c>
      <c r="F47" s="5">
        <f>IF(A47="","",IF(IFERROR(XLOOKUP(A47,tblAccounts[Account_ID],tblAccounts[Include],FALSE),FALSE),SUMIFS(tblAcctSummary[Net_Contrib_Base],tblAcctSummary[Account_ID],A47),0))</f>
        <v/>
      </c>
      <c r="G47" s="5">
        <f>IF(A47="","",IF(IFERROR(XLOOKUP(A47,tblAccounts[Account_ID],tblAccounts[Include],FALSE),FALSE),SUMIFS(tblAcctSummary[Income_Interest_Base],tblAcctSummary[Account_ID],A47),0))</f>
        <v/>
      </c>
      <c r="H47" s="5">
        <f>IF(A47="","",IF(IFERROR(XLOOKUP(A47,tblAccounts[Account_ID],tblAccounts[Include],FALSE),FALSE),SUMIFS(tblAcctSummary[Income_Dividends_Base],tblAcctSummary[Account_ID],A47),0))</f>
        <v/>
      </c>
      <c r="I47" s="5">
        <f>IF(A47="","",IF(IFERROR(XLOOKUP(A47,tblAccounts[Account_ID],tblAccounts[Include],FALSE),FALSE),SUMIFS(tblAcctSummary[Income_Other_Base],tblAcctSummary[Account_ID],A47),0))</f>
        <v/>
      </c>
      <c r="J47" s="5">
        <f>IF(A47="","",SUM(G47:I47))</f>
        <v/>
      </c>
      <c r="K47" s="5">
        <f>IF(A47="","",IF(IFERROR(XLOOKUP(A47,tblAccounts[Account_ID],tblAccounts[Include],FALSE),FALSE),SUMIFS(tblAcctSummary[Realized_GL_Base],tblAcctSummary[Account_ID],A47),0))</f>
        <v/>
      </c>
      <c r="L47" s="5">
        <f>IF(A47="","",IF(IFERROR(XLOOKUP(A47,tblAccounts[Account_ID],tblAccounts[Include],FALSE),FALSE),SUMIFS(tblAcctSummary[Fees_Base],tblAcctSummary[Account_ID],A47),0))</f>
        <v/>
      </c>
      <c r="M47" s="5">
        <f>IF(A47="","",IF(IFERROR(XLOOKUP(A47,tblAccounts[Account_ID],tblAccounts[Include],FALSE),FALSE),SUMIFS(tblAcctSummary[Taxes_Base],tblAcctSummary[Account_ID],A47),0))</f>
        <v/>
      </c>
      <c r="N47" s="5">
        <f>IF(A47="","",IF(IFERROR(XLOOKUP(A47,tblAccounts[Account_ID],tblAccounts[Include],FALSE),FALSE),IFERROR(SUMPRODUCT(tblAcctSummary[Return_Period],tblAcctSummary[Begin_Balance_Base],--(tblAcctSummary[Account_ID]=A47))/IF(SUMIFS(tblAcctSummary[Begin_Balance_Base],tblAcctSummary[Account_ID],A47)=0,NA(),SUMIFS(tblAcctSummary[Begin_Balance_Base],tblAcctSummary[Account_ID],A47)),0),0))</f>
        <v/>
      </c>
    </row>
    <row r="48">
      <c r="A48" s="5">
        <f>IFERROR(INDEX(tblAccounts[Account_ID],45),"")</f>
        <v/>
      </c>
      <c r="B48" s="5">
        <f>IF(A48="","",IFERROR(XLOOKUP(A48,tblAccounts[Account_ID],tblAccounts[Account_Name],""),""))</f>
        <v/>
      </c>
      <c r="C48" s="5">
        <f>IF(A48="","",IFERROR(XLOOKUP(A48,tblAccounts[Account_ID],tblAccounts[Household_ID],""),""))</f>
        <v/>
      </c>
      <c r="D48" s="5">
        <f>IF(A48="","",IF(IFERROR(XLOOKUP(A48,tblAccounts[Account_ID],tblAccounts[Include],FALSE),FALSE),SUMIFS(tblAcctSummary[Begin_Balance_Base],tblAcctSummary[Account_ID],A48),0))</f>
        <v/>
      </c>
      <c r="E48" s="5">
        <f>IF(A48="","",IF(IFERROR(XLOOKUP(A48,tblAccounts[Account_ID],tblAccounts[Include],FALSE),FALSE),SUMIFS(tblAcctSummary[End_Balance_Base],tblAcctSummary[Account_ID],A48),0))</f>
        <v/>
      </c>
      <c r="F48" s="5">
        <f>IF(A48="","",IF(IFERROR(XLOOKUP(A48,tblAccounts[Account_ID],tblAccounts[Include],FALSE),FALSE),SUMIFS(tblAcctSummary[Net_Contrib_Base],tblAcctSummary[Account_ID],A48),0))</f>
        <v/>
      </c>
      <c r="G48" s="5">
        <f>IF(A48="","",IF(IFERROR(XLOOKUP(A48,tblAccounts[Account_ID],tblAccounts[Include],FALSE),FALSE),SUMIFS(tblAcctSummary[Income_Interest_Base],tblAcctSummary[Account_ID],A48),0))</f>
        <v/>
      </c>
      <c r="H48" s="5">
        <f>IF(A48="","",IF(IFERROR(XLOOKUP(A48,tblAccounts[Account_ID],tblAccounts[Include],FALSE),FALSE),SUMIFS(tblAcctSummary[Income_Dividends_Base],tblAcctSummary[Account_ID],A48),0))</f>
        <v/>
      </c>
      <c r="I48" s="5">
        <f>IF(A48="","",IF(IFERROR(XLOOKUP(A48,tblAccounts[Account_ID],tblAccounts[Include],FALSE),FALSE),SUMIFS(tblAcctSummary[Income_Other_Base],tblAcctSummary[Account_ID],A48),0))</f>
        <v/>
      </c>
      <c r="J48" s="5">
        <f>IF(A48="","",SUM(G48:I48))</f>
        <v/>
      </c>
      <c r="K48" s="5">
        <f>IF(A48="","",IF(IFERROR(XLOOKUP(A48,tblAccounts[Account_ID],tblAccounts[Include],FALSE),FALSE),SUMIFS(tblAcctSummary[Realized_GL_Base],tblAcctSummary[Account_ID],A48),0))</f>
        <v/>
      </c>
      <c r="L48" s="5">
        <f>IF(A48="","",IF(IFERROR(XLOOKUP(A48,tblAccounts[Account_ID],tblAccounts[Include],FALSE),FALSE),SUMIFS(tblAcctSummary[Fees_Base],tblAcctSummary[Account_ID],A48),0))</f>
        <v/>
      </c>
      <c r="M48" s="5">
        <f>IF(A48="","",IF(IFERROR(XLOOKUP(A48,tblAccounts[Account_ID],tblAccounts[Include],FALSE),FALSE),SUMIFS(tblAcctSummary[Taxes_Base],tblAcctSummary[Account_ID],A48),0))</f>
        <v/>
      </c>
      <c r="N48" s="5">
        <f>IF(A48="","",IF(IFERROR(XLOOKUP(A48,tblAccounts[Account_ID],tblAccounts[Include],FALSE),FALSE),IFERROR(SUMPRODUCT(tblAcctSummary[Return_Period],tblAcctSummary[Begin_Balance_Base],--(tblAcctSummary[Account_ID]=A48))/IF(SUMIFS(tblAcctSummary[Begin_Balance_Base],tblAcctSummary[Account_ID],A48)=0,NA(),SUMIFS(tblAcctSummary[Begin_Balance_Base],tblAcctSummary[Account_ID],A48)),0),0))</f>
        <v/>
      </c>
    </row>
    <row r="49">
      <c r="A49" s="5">
        <f>IFERROR(INDEX(tblAccounts[Account_ID],46),"")</f>
        <v/>
      </c>
      <c r="B49" s="5">
        <f>IF(A49="","",IFERROR(XLOOKUP(A49,tblAccounts[Account_ID],tblAccounts[Account_Name],""),""))</f>
        <v/>
      </c>
      <c r="C49" s="5">
        <f>IF(A49="","",IFERROR(XLOOKUP(A49,tblAccounts[Account_ID],tblAccounts[Household_ID],""),""))</f>
        <v/>
      </c>
      <c r="D49" s="5">
        <f>IF(A49="","",IF(IFERROR(XLOOKUP(A49,tblAccounts[Account_ID],tblAccounts[Include],FALSE),FALSE),SUMIFS(tblAcctSummary[Begin_Balance_Base],tblAcctSummary[Account_ID],A49),0))</f>
        <v/>
      </c>
      <c r="E49" s="5">
        <f>IF(A49="","",IF(IFERROR(XLOOKUP(A49,tblAccounts[Account_ID],tblAccounts[Include],FALSE),FALSE),SUMIFS(tblAcctSummary[End_Balance_Base],tblAcctSummary[Account_ID],A49),0))</f>
        <v/>
      </c>
      <c r="F49" s="5">
        <f>IF(A49="","",IF(IFERROR(XLOOKUP(A49,tblAccounts[Account_ID],tblAccounts[Include],FALSE),FALSE),SUMIFS(tblAcctSummary[Net_Contrib_Base],tblAcctSummary[Account_ID],A49),0))</f>
        <v/>
      </c>
      <c r="G49" s="5">
        <f>IF(A49="","",IF(IFERROR(XLOOKUP(A49,tblAccounts[Account_ID],tblAccounts[Include],FALSE),FALSE),SUMIFS(tblAcctSummary[Income_Interest_Base],tblAcctSummary[Account_ID],A49),0))</f>
        <v/>
      </c>
      <c r="H49" s="5">
        <f>IF(A49="","",IF(IFERROR(XLOOKUP(A49,tblAccounts[Account_ID],tblAccounts[Include],FALSE),FALSE),SUMIFS(tblAcctSummary[Income_Dividends_Base],tblAcctSummary[Account_ID],A49),0))</f>
        <v/>
      </c>
      <c r="I49" s="5">
        <f>IF(A49="","",IF(IFERROR(XLOOKUP(A49,tblAccounts[Account_ID],tblAccounts[Include],FALSE),FALSE),SUMIFS(tblAcctSummary[Income_Other_Base],tblAcctSummary[Account_ID],A49),0))</f>
        <v/>
      </c>
      <c r="J49" s="5">
        <f>IF(A49="","",SUM(G49:I49))</f>
        <v/>
      </c>
      <c r="K49" s="5">
        <f>IF(A49="","",IF(IFERROR(XLOOKUP(A49,tblAccounts[Account_ID],tblAccounts[Include],FALSE),FALSE),SUMIFS(tblAcctSummary[Realized_GL_Base],tblAcctSummary[Account_ID],A49),0))</f>
        <v/>
      </c>
      <c r="L49" s="5">
        <f>IF(A49="","",IF(IFERROR(XLOOKUP(A49,tblAccounts[Account_ID],tblAccounts[Include],FALSE),FALSE),SUMIFS(tblAcctSummary[Fees_Base],tblAcctSummary[Account_ID],A49),0))</f>
        <v/>
      </c>
      <c r="M49" s="5">
        <f>IF(A49="","",IF(IFERROR(XLOOKUP(A49,tblAccounts[Account_ID],tblAccounts[Include],FALSE),FALSE),SUMIFS(tblAcctSummary[Taxes_Base],tblAcctSummary[Account_ID],A49),0))</f>
        <v/>
      </c>
      <c r="N49" s="5">
        <f>IF(A49="","",IF(IFERROR(XLOOKUP(A49,tblAccounts[Account_ID],tblAccounts[Include],FALSE),FALSE),IFERROR(SUMPRODUCT(tblAcctSummary[Return_Period],tblAcctSummary[Begin_Balance_Base],--(tblAcctSummary[Account_ID]=A49))/IF(SUMIFS(tblAcctSummary[Begin_Balance_Base],tblAcctSummary[Account_ID],A49)=0,NA(),SUMIFS(tblAcctSummary[Begin_Balance_Base],tblAcctSummary[Account_ID],A49)),0),0))</f>
        <v/>
      </c>
    </row>
    <row r="50">
      <c r="A50" s="5">
        <f>IFERROR(INDEX(tblAccounts[Account_ID],47),"")</f>
        <v/>
      </c>
      <c r="B50" s="5">
        <f>IF(A50="","",IFERROR(XLOOKUP(A50,tblAccounts[Account_ID],tblAccounts[Account_Name],""),""))</f>
        <v/>
      </c>
      <c r="C50" s="5">
        <f>IF(A50="","",IFERROR(XLOOKUP(A50,tblAccounts[Account_ID],tblAccounts[Household_ID],""),""))</f>
        <v/>
      </c>
      <c r="D50" s="5">
        <f>IF(A50="","",IF(IFERROR(XLOOKUP(A50,tblAccounts[Account_ID],tblAccounts[Include],FALSE),FALSE),SUMIFS(tblAcctSummary[Begin_Balance_Base],tblAcctSummary[Account_ID],A50),0))</f>
        <v/>
      </c>
      <c r="E50" s="5">
        <f>IF(A50="","",IF(IFERROR(XLOOKUP(A50,tblAccounts[Account_ID],tblAccounts[Include],FALSE),FALSE),SUMIFS(tblAcctSummary[End_Balance_Base],tblAcctSummary[Account_ID],A50),0))</f>
        <v/>
      </c>
      <c r="F50" s="5">
        <f>IF(A50="","",IF(IFERROR(XLOOKUP(A50,tblAccounts[Account_ID],tblAccounts[Include],FALSE),FALSE),SUMIFS(tblAcctSummary[Net_Contrib_Base],tblAcctSummary[Account_ID],A50),0))</f>
        <v/>
      </c>
      <c r="G50" s="5">
        <f>IF(A50="","",IF(IFERROR(XLOOKUP(A50,tblAccounts[Account_ID],tblAccounts[Include],FALSE),FALSE),SUMIFS(tblAcctSummary[Income_Interest_Base],tblAcctSummary[Account_ID],A50),0))</f>
        <v/>
      </c>
      <c r="H50" s="5">
        <f>IF(A50="","",IF(IFERROR(XLOOKUP(A50,tblAccounts[Account_ID],tblAccounts[Include],FALSE),FALSE),SUMIFS(tblAcctSummary[Income_Dividends_Base],tblAcctSummary[Account_ID],A50),0))</f>
        <v/>
      </c>
      <c r="I50" s="5">
        <f>IF(A50="","",IF(IFERROR(XLOOKUP(A50,tblAccounts[Account_ID],tblAccounts[Include],FALSE),FALSE),SUMIFS(tblAcctSummary[Income_Other_Base],tblAcctSummary[Account_ID],A50),0))</f>
        <v/>
      </c>
      <c r="J50" s="5">
        <f>IF(A50="","",SUM(G50:I50))</f>
        <v/>
      </c>
      <c r="K50" s="5">
        <f>IF(A50="","",IF(IFERROR(XLOOKUP(A50,tblAccounts[Account_ID],tblAccounts[Include],FALSE),FALSE),SUMIFS(tblAcctSummary[Realized_GL_Base],tblAcctSummary[Account_ID],A50),0))</f>
        <v/>
      </c>
      <c r="L50" s="5">
        <f>IF(A50="","",IF(IFERROR(XLOOKUP(A50,tblAccounts[Account_ID],tblAccounts[Include],FALSE),FALSE),SUMIFS(tblAcctSummary[Fees_Base],tblAcctSummary[Account_ID],A50),0))</f>
        <v/>
      </c>
      <c r="M50" s="5">
        <f>IF(A50="","",IF(IFERROR(XLOOKUP(A50,tblAccounts[Account_ID],tblAccounts[Include],FALSE),FALSE),SUMIFS(tblAcctSummary[Taxes_Base],tblAcctSummary[Account_ID],A50),0))</f>
        <v/>
      </c>
      <c r="N50" s="5">
        <f>IF(A50="","",IF(IFERROR(XLOOKUP(A50,tblAccounts[Account_ID],tblAccounts[Include],FALSE),FALSE),IFERROR(SUMPRODUCT(tblAcctSummary[Return_Period],tblAcctSummary[Begin_Balance_Base],--(tblAcctSummary[Account_ID]=A50))/IF(SUMIFS(tblAcctSummary[Begin_Balance_Base],tblAcctSummary[Account_ID],A50)=0,NA(),SUMIFS(tblAcctSummary[Begin_Balance_Base],tblAcctSummary[Account_ID],A50)),0),0))</f>
        <v/>
      </c>
    </row>
    <row r="51">
      <c r="A51" s="5">
        <f>IFERROR(INDEX(tblAccounts[Account_ID],48),"")</f>
        <v/>
      </c>
      <c r="B51" s="5">
        <f>IF(A51="","",IFERROR(XLOOKUP(A51,tblAccounts[Account_ID],tblAccounts[Account_Name],""),""))</f>
        <v/>
      </c>
      <c r="C51" s="5">
        <f>IF(A51="","",IFERROR(XLOOKUP(A51,tblAccounts[Account_ID],tblAccounts[Household_ID],""),""))</f>
        <v/>
      </c>
      <c r="D51" s="5">
        <f>IF(A51="","",IF(IFERROR(XLOOKUP(A51,tblAccounts[Account_ID],tblAccounts[Include],FALSE),FALSE),SUMIFS(tblAcctSummary[Begin_Balance_Base],tblAcctSummary[Account_ID],A51),0))</f>
        <v/>
      </c>
      <c r="E51" s="5">
        <f>IF(A51="","",IF(IFERROR(XLOOKUP(A51,tblAccounts[Account_ID],tblAccounts[Include],FALSE),FALSE),SUMIFS(tblAcctSummary[End_Balance_Base],tblAcctSummary[Account_ID],A51),0))</f>
        <v/>
      </c>
      <c r="F51" s="5">
        <f>IF(A51="","",IF(IFERROR(XLOOKUP(A51,tblAccounts[Account_ID],tblAccounts[Include],FALSE),FALSE),SUMIFS(tblAcctSummary[Net_Contrib_Base],tblAcctSummary[Account_ID],A51),0))</f>
        <v/>
      </c>
      <c r="G51" s="5">
        <f>IF(A51="","",IF(IFERROR(XLOOKUP(A51,tblAccounts[Account_ID],tblAccounts[Include],FALSE),FALSE),SUMIFS(tblAcctSummary[Income_Interest_Base],tblAcctSummary[Account_ID],A51),0))</f>
        <v/>
      </c>
      <c r="H51" s="5">
        <f>IF(A51="","",IF(IFERROR(XLOOKUP(A51,tblAccounts[Account_ID],tblAccounts[Include],FALSE),FALSE),SUMIFS(tblAcctSummary[Income_Dividends_Base],tblAcctSummary[Account_ID],A51),0))</f>
        <v/>
      </c>
      <c r="I51" s="5">
        <f>IF(A51="","",IF(IFERROR(XLOOKUP(A51,tblAccounts[Account_ID],tblAccounts[Include],FALSE),FALSE),SUMIFS(tblAcctSummary[Income_Other_Base],tblAcctSummary[Account_ID],A51),0))</f>
        <v/>
      </c>
      <c r="J51" s="5">
        <f>IF(A51="","",SUM(G51:I51))</f>
        <v/>
      </c>
      <c r="K51" s="5">
        <f>IF(A51="","",IF(IFERROR(XLOOKUP(A51,tblAccounts[Account_ID],tblAccounts[Include],FALSE),FALSE),SUMIFS(tblAcctSummary[Realized_GL_Base],tblAcctSummary[Account_ID],A51),0))</f>
        <v/>
      </c>
      <c r="L51" s="5">
        <f>IF(A51="","",IF(IFERROR(XLOOKUP(A51,tblAccounts[Account_ID],tblAccounts[Include],FALSE),FALSE),SUMIFS(tblAcctSummary[Fees_Base],tblAcctSummary[Account_ID],A51),0))</f>
        <v/>
      </c>
      <c r="M51" s="5">
        <f>IF(A51="","",IF(IFERROR(XLOOKUP(A51,tblAccounts[Account_ID],tblAccounts[Include],FALSE),FALSE),SUMIFS(tblAcctSummary[Taxes_Base],tblAcctSummary[Account_ID],A51),0))</f>
        <v/>
      </c>
      <c r="N51" s="5">
        <f>IF(A51="","",IF(IFERROR(XLOOKUP(A51,tblAccounts[Account_ID],tblAccounts[Include],FALSE),FALSE),IFERROR(SUMPRODUCT(tblAcctSummary[Return_Period],tblAcctSummary[Begin_Balance_Base],--(tblAcctSummary[Account_ID]=A51))/IF(SUMIFS(tblAcctSummary[Begin_Balance_Base],tblAcctSummary[Account_ID],A51)=0,NA(),SUMIFS(tblAcctSummary[Begin_Balance_Base],tblAcctSummary[Account_ID],A51)),0),0))</f>
        <v/>
      </c>
    </row>
    <row r="52">
      <c r="A52" s="5">
        <f>IFERROR(INDEX(tblAccounts[Account_ID],49),"")</f>
        <v/>
      </c>
      <c r="B52" s="5">
        <f>IF(A52="","",IFERROR(XLOOKUP(A52,tblAccounts[Account_ID],tblAccounts[Account_Name],""),""))</f>
        <v/>
      </c>
      <c r="C52" s="5">
        <f>IF(A52="","",IFERROR(XLOOKUP(A52,tblAccounts[Account_ID],tblAccounts[Household_ID],""),""))</f>
        <v/>
      </c>
      <c r="D52" s="5">
        <f>IF(A52="","",IF(IFERROR(XLOOKUP(A52,tblAccounts[Account_ID],tblAccounts[Include],FALSE),FALSE),SUMIFS(tblAcctSummary[Begin_Balance_Base],tblAcctSummary[Account_ID],A52),0))</f>
        <v/>
      </c>
      <c r="E52" s="5">
        <f>IF(A52="","",IF(IFERROR(XLOOKUP(A52,tblAccounts[Account_ID],tblAccounts[Include],FALSE),FALSE),SUMIFS(tblAcctSummary[End_Balance_Base],tblAcctSummary[Account_ID],A52),0))</f>
        <v/>
      </c>
      <c r="F52" s="5">
        <f>IF(A52="","",IF(IFERROR(XLOOKUP(A52,tblAccounts[Account_ID],tblAccounts[Include],FALSE),FALSE),SUMIFS(tblAcctSummary[Net_Contrib_Base],tblAcctSummary[Account_ID],A52),0))</f>
        <v/>
      </c>
      <c r="G52" s="5">
        <f>IF(A52="","",IF(IFERROR(XLOOKUP(A52,tblAccounts[Account_ID],tblAccounts[Include],FALSE),FALSE),SUMIFS(tblAcctSummary[Income_Interest_Base],tblAcctSummary[Account_ID],A52),0))</f>
        <v/>
      </c>
      <c r="H52" s="5">
        <f>IF(A52="","",IF(IFERROR(XLOOKUP(A52,tblAccounts[Account_ID],tblAccounts[Include],FALSE),FALSE),SUMIFS(tblAcctSummary[Income_Dividends_Base],tblAcctSummary[Account_ID],A52),0))</f>
        <v/>
      </c>
      <c r="I52" s="5">
        <f>IF(A52="","",IF(IFERROR(XLOOKUP(A52,tblAccounts[Account_ID],tblAccounts[Include],FALSE),FALSE),SUMIFS(tblAcctSummary[Income_Other_Base],tblAcctSummary[Account_ID],A52),0))</f>
        <v/>
      </c>
      <c r="J52" s="5">
        <f>IF(A52="","",SUM(G52:I52))</f>
        <v/>
      </c>
      <c r="K52" s="5">
        <f>IF(A52="","",IF(IFERROR(XLOOKUP(A52,tblAccounts[Account_ID],tblAccounts[Include],FALSE),FALSE),SUMIFS(tblAcctSummary[Realized_GL_Base],tblAcctSummary[Account_ID],A52),0))</f>
        <v/>
      </c>
      <c r="L52" s="5">
        <f>IF(A52="","",IF(IFERROR(XLOOKUP(A52,tblAccounts[Account_ID],tblAccounts[Include],FALSE),FALSE),SUMIFS(tblAcctSummary[Fees_Base],tblAcctSummary[Account_ID],A52),0))</f>
        <v/>
      </c>
      <c r="M52" s="5">
        <f>IF(A52="","",IF(IFERROR(XLOOKUP(A52,tblAccounts[Account_ID],tblAccounts[Include],FALSE),FALSE),SUMIFS(tblAcctSummary[Taxes_Base],tblAcctSummary[Account_ID],A52),0))</f>
        <v/>
      </c>
      <c r="N52" s="5">
        <f>IF(A52="","",IF(IFERROR(XLOOKUP(A52,tblAccounts[Account_ID],tblAccounts[Include],FALSE),FALSE),IFERROR(SUMPRODUCT(tblAcctSummary[Return_Period],tblAcctSummary[Begin_Balance_Base],--(tblAcctSummary[Account_ID]=A52))/IF(SUMIFS(tblAcctSummary[Begin_Balance_Base],tblAcctSummary[Account_ID],A52)=0,NA(),SUMIFS(tblAcctSummary[Begin_Balance_Base],tblAcctSummary[Account_ID],A52)),0),0))</f>
        <v/>
      </c>
    </row>
    <row r="53">
      <c r="A53" s="5">
        <f>IFERROR(INDEX(tblAccounts[Account_ID],50),"")</f>
        <v/>
      </c>
      <c r="B53" s="5">
        <f>IF(A53="","",IFERROR(XLOOKUP(A53,tblAccounts[Account_ID],tblAccounts[Account_Name],""),""))</f>
        <v/>
      </c>
      <c r="C53" s="5">
        <f>IF(A53="","",IFERROR(XLOOKUP(A53,tblAccounts[Account_ID],tblAccounts[Household_ID],""),""))</f>
        <v/>
      </c>
      <c r="D53" s="5">
        <f>IF(A53="","",IF(IFERROR(XLOOKUP(A53,tblAccounts[Account_ID],tblAccounts[Include],FALSE),FALSE),SUMIFS(tblAcctSummary[Begin_Balance_Base],tblAcctSummary[Account_ID],A53),0))</f>
        <v/>
      </c>
      <c r="E53" s="5">
        <f>IF(A53="","",IF(IFERROR(XLOOKUP(A53,tblAccounts[Account_ID],tblAccounts[Include],FALSE),FALSE),SUMIFS(tblAcctSummary[End_Balance_Base],tblAcctSummary[Account_ID],A53),0))</f>
        <v/>
      </c>
      <c r="F53" s="5">
        <f>IF(A53="","",IF(IFERROR(XLOOKUP(A53,tblAccounts[Account_ID],tblAccounts[Include],FALSE),FALSE),SUMIFS(tblAcctSummary[Net_Contrib_Base],tblAcctSummary[Account_ID],A53),0))</f>
        <v/>
      </c>
      <c r="G53" s="5">
        <f>IF(A53="","",IF(IFERROR(XLOOKUP(A53,tblAccounts[Account_ID],tblAccounts[Include],FALSE),FALSE),SUMIFS(tblAcctSummary[Income_Interest_Base],tblAcctSummary[Account_ID],A53),0))</f>
        <v/>
      </c>
      <c r="H53" s="5">
        <f>IF(A53="","",IF(IFERROR(XLOOKUP(A53,tblAccounts[Account_ID],tblAccounts[Include],FALSE),FALSE),SUMIFS(tblAcctSummary[Income_Dividends_Base],tblAcctSummary[Account_ID],A53),0))</f>
        <v/>
      </c>
      <c r="I53" s="5">
        <f>IF(A53="","",IF(IFERROR(XLOOKUP(A53,tblAccounts[Account_ID],tblAccounts[Include],FALSE),FALSE),SUMIFS(tblAcctSummary[Income_Other_Base],tblAcctSummary[Account_ID],A53),0))</f>
        <v/>
      </c>
      <c r="J53" s="5">
        <f>IF(A53="","",SUM(G53:I53))</f>
        <v/>
      </c>
      <c r="K53" s="5">
        <f>IF(A53="","",IF(IFERROR(XLOOKUP(A53,tblAccounts[Account_ID],tblAccounts[Include],FALSE),FALSE),SUMIFS(tblAcctSummary[Realized_GL_Base],tblAcctSummary[Account_ID],A53),0))</f>
        <v/>
      </c>
      <c r="L53" s="5">
        <f>IF(A53="","",IF(IFERROR(XLOOKUP(A53,tblAccounts[Account_ID],tblAccounts[Include],FALSE),FALSE),SUMIFS(tblAcctSummary[Fees_Base],tblAcctSummary[Account_ID],A53),0))</f>
        <v/>
      </c>
      <c r="M53" s="5">
        <f>IF(A53="","",IF(IFERROR(XLOOKUP(A53,tblAccounts[Account_ID],tblAccounts[Include],FALSE),FALSE),SUMIFS(tblAcctSummary[Taxes_Base],tblAcctSummary[Account_ID],A53),0))</f>
        <v/>
      </c>
      <c r="N53" s="5">
        <f>IF(A53="","",IF(IFERROR(XLOOKUP(A53,tblAccounts[Account_ID],tblAccounts[Include],FALSE),FALSE),IFERROR(SUMPRODUCT(tblAcctSummary[Return_Period],tblAcctSummary[Begin_Balance_Base],--(tblAcctSummary[Account_ID]=A53))/IF(SUMIFS(tblAcctSummary[Begin_Balance_Base],tblAcctSummary[Account_ID],A53)=0,NA(),SUMIFS(tblAcctSummary[Begin_Balance_Base],tblAcctSummary[Account_ID],A53)),0),0))</f>
        <v/>
      </c>
    </row>
    <row r="54">
      <c r="A54" s="5">
        <f>IFERROR(INDEX(tblAccounts[Account_ID],51),"")</f>
        <v/>
      </c>
      <c r="B54" s="5">
        <f>IF(A54="","",IFERROR(XLOOKUP(A54,tblAccounts[Account_ID],tblAccounts[Account_Name],""),""))</f>
        <v/>
      </c>
      <c r="C54" s="5">
        <f>IF(A54="","",IFERROR(XLOOKUP(A54,tblAccounts[Account_ID],tblAccounts[Household_ID],""),""))</f>
        <v/>
      </c>
      <c r="D54" s="5">
        <f>IF(A54="","",IF(IFERROR(XLOOKUP(A54,tblAccounts[Account_ID],tblAccounts[Include],FALSE),FALSE),SUMIFS(tblAcctSummary[Begin_Balance_Base],tblAcctSummary[Account_ID],A54),0))</f>
        <v/>
      </c>
      <c r="E54" s="5">
        <f>IF(A54="","",IF(IFERROR(XLOOKUP(A54,tblAccounts[Account_ID],tblAccounts[Include],FALSE),FALSE),SUMIFS(tblAcctSummary[End_Balance_Base],tblAcctSummary[Account_ID],A54),0))</f>
        <v/>
      </c>
      <c r="F54" s="5">
        <f>IF(A54="","",IF(IFERROR(XLOOKUP(A54,tblAccounts[Account_ID],tblAccounts[Include],FALSE),FALSE),SUMIFS(tblAcctSummary[Net_Contrib_Base],tblAcctSummary[Account_ID],A54),0))</f>
        <v/>
      </c>
      <c r="G54" s="5">
        <f>IF(A54="","",IF(IFERROR(XLOOKUP(A54,tblAccounts[Account_ID],tblAccounts[Include],FALSE),FALSE),SUMIFS(tblAcctSummary[Income_Interest_Base],tblAcctSummary[Account_ID],A54),0))</f>
        <v/>
      </c>
      <c r="H54" s="5">
        <f>IF(A54="","",IF(IFERROR(XLOOKUP(A54,tblAccounts[Account_ID],tblAccounts[Include],FALSE),FALSE),SUMIFS(tblAcctSummary[Income_Dividends_Base],tblAcctSummary[Account_ID],A54),0))</f>
        <v/>
      </c>
      <c r="I54" s="5">
        <f>IF(A54="","",IF(IFERROR(XLOOKUP(A54,tblAccounts[Account_ID],tblAccounts[Include],FALSE),FALSE),SUMIFS(tblAcctSummary[Income_Other_Base],tblAcctSummary[Account_ID],A54),0))</f>
        <v/>
      </c>
      <c r="J54" s="5">
        <f>IF(A54="","",SUM(G54:I54))</f>
        <v/>
      </c>
      <c r="K54" s="5">
        <f>IF(A54="","",IF(IFERROR(XLOOKUP(A54,tblAccounts[Account_ID],tblAccounts[Include],FALSE),FALSE),SUMIFS(tblAcctSummary[Realized_GL_Base],tblAcctSummary[Account_ID],A54),0))</f>
        <v/>
      </c>
      <c r="L54" s="5">
        <f>IF(A54="","",IF(IFERROR(XLOOKUP(A54,tblAccounts[Account_ID],tblAccounts[Include],FALSE),FALSE),SUMIFS(tblAcctSummary[Fees_Base],tblAcctSummary[Account_ID],A54),0))</f>
        <v/>
      </c>
      <c r="M54" s="5">
        <f>IF(A54="","",IF(IFERROR(XLOOKUP(A54,tblAccounts[Account_ID],tblAccounts[Include],FALSE),FALSE),SUMIFS(tblAcctSummary[Taxes_Base],tblAcctSummary[Account_ID],A54),0))</f>
        <v/>
      </c>
      <c r="N54" s="5">
        <f>IF(A54="","",IF(IFERROR(XLOOKUP(A54,tblAccounts[Account_ID],tblAccounts[Include],FALSE),FALSE),IFERROR(SUMPRODUCT(tblAcctSummary[Return_Period],tblAcctSummary[Begin_Balance_Base],--(tblAcctSummary[Account_ID]=A54))/IF(SUMIFS(tblAcctSummary[Begin_Balance_Base],tblAcctSummary[Account_ID],A54)=0,NA(),SUMIFS(tblAcctSummary[Begin_Balance_Base],tblAcctSummary[Account_ID],A54)),0),0))</f>
        <v/>
      </c>
    </row>
    <row r="55">
      <c r="A55" s="5">
        <f>IFERROR(INDEX(tblAccounts[Account_ID],52),"")</f>
        <v/>
      </c>
      <c r="B55" s="5">
        <f>IF(A55="","",IFERROR(XLOOKUP(A55,tblAccounts[Account_ID],tblAccounts[Account_Name],""),""))</f>
        <v/>
      </c>
      <c r="C55" s="5">
        <f>IF(A55="","",IFERROR(XLOOKUP(A55,tblAccounts[Account_ID],tblAccounts[Household_ID],""),""))</f>
        <v/>
      </c>
      <c r="D55" s="5">
        <f>IF(A55="","",IF(IFERROR(XLOOKUP(A55,tblAccounts[Account_ID],tblAccounts[Include],FALSE),FALSE),SUMIFS(tblAcctSummary[Begin_Balance_Base],tblAcctSummary[Account_ID],A55),0))</f>
        <v/>
      </c>
      <c r="E55" s="5">
        <f>IF(A55="","",IF(IFERROR(XLOOKUP(A55,tblAccounts[Account_ID],tblAccounts[Include],FALSE),FALSE),SUMIFS(tblAcctSummary[End_Balance_Base],tblAcctSummary[Account_ID],A55),0))</f>
        <v/>
      </c>
      <c r="F55" s="5">
        <f>IF(A55="","",IF(IFERROR(XLOOKUP(A55,tblAccounts[Account_ID],tblAccounts[Include],FALSE),FALSE),SUMIFS(tblAcctSummary[Net_Contrib_Base],tblAcctSummary[Account_ID],A55),0))</f>
        <v/>
      </c>
      <c r="G55" s="5">
        <f>IF(A55="","",IF(IFERROR(XLOOKUP(A55,tblAccounts[Account_ID],tblAccounts[Include],FALSE),FALSE),SUMIFS(tblAcctSummary[Income_Interest_Base],tblAcctSummary[Account_ID],A55),0))</f>
        <v/>
      </c>
      <c r="H55" s="5">
        <f>IF(A55="","",IF(IFERROR(XLOOKUP(A55,tblAccounts[Account_ID],tblAccounts[Include],FALSE),FALSE),SUMIFS(tblAcctSummary[Income_Dividends_Base],tblAcctSummary[Account_ID],A55),0))</f>
        <v/>
      </c>
      <c r="I55" s="5">
        <f>IF(A55="","",IF(IFERROR(XLOOKUP(A55,tblAccounts[Account_ID],tblAccounts[Include],FALSE),FALSE),SUMIFS(tblAcctSummary[Income_Other_Base],tblAcctSummary[Account_ID],A55),0))</f>
        <v/>
      </c>
      <c r="J55" s="5">
        <f>IF(A55="","",SUM(G55:I55))</f>
        <v/>
      </c>
      <c r="K55" s="5">
        <f>IF(A55="","",IF(IFERROR(XLOOKUP(A55,tblAccounts[Account_ID],tblAccounts[Include],FALSE),FALSE),SUMIFS(tblAcctSummary[Realized_GL_Base],tblAcctSummary[Account_ID],A55),0))</f>
        <v/>
      </c>
      <c r="L55" s="5">
        <f>IF(A55="","",IF(IFERROR(XLOOKUP(A55,tblAccounts[Account_ID],tblAccounts[Include],FALSE),FALSE),SUMIFS(tblAcctSummary[Fees_Base],tblAcctSummary[Account_ID],A55),0))</f>
        <v/>
      </c>
      <c r="M55" s="5">
        <f>IF(A55="","",IF(IFERROR(XLOOKUP(A55,tblAccounts[Account_ID],tblAccounts[Include],FALSE),FALSE),SUMIFS(tblAcctSummary[Taxes_Base],tblAcctSummary[Account_ID],A55),0))</f>
        <v/>
      </c>
      <c r="N55" s="5">
        <f>IF(A55="","",IF(IFERROR(XLOOKUP(A55,tblAccounts[Account_ID],tblAccounts[Include],FALSE),FALSE),IFERROR(SUMPRODUCT(tblAcctSummary[Return_Period],tblAcctSummary[Begin_Balance_Base],--(tblAcctSummary[Account_ID]=A55))/IF(SUMIFS(tblAcctSummary[Begin_Balance_Base],tblAcctSummary[Account_ID],A55)=0,NA(),SUMIFS(tblAcctSummary[Begin_Balance_Base],tblAcctSummary[Account_ID],A55)),0),0))</f>
        <v/>
      </c>
    </row>
    <row r="56">
      <c r="A56" s="5">
        <f>IFERROR(INDEX(tblAccounts[Account_ID],53),"")</f>
        <v/>
      </c>
      <c r="B56" s="5">
        <f>IF(A56="","",IFERROR(XLOOKUP(A56,tblAccounts[Account_ID],tblAccounts[Account_Name],""),""))</f>
        <v/>
      </c>
      <c r="C56" s="5">
        <f>IF(A56="","",IFERROR(XLOOKUP(A56,tblAccounts[Account_ID],tblAccounts[Household_ID],""),""))</f>
        <v/>
      </c>
      <c r="D56" s="5">
        <f>IF(A56="","",IF(IFERROR(XLOOKUP(A56,tblAccounts[Account_ID],tblAccounts[Include],FALSE),FALSE),SUMIFS(tblAcctSummary[Begin_Balance_Base],tblAcctSummary[Account_ID],A56),0))</f>
        <v/>
      </c>
      <c r="E56" s="5">
        <f>IF(A56="","",IF(IFERROR(XLOOKUP(A56,tblAccounts[Account_ID],tblAccounts[Include],FALSE),FALSE),SUMIFS(tblAcctSummary[End_Balance_Base],tblAcctSummary[Account_ID],A56),0))</f>
        <v/>
      </c>
      <c r="F56" s="5">
        <f>IF(A56="","",IF(IFERROR(XLOOKUP(A56,tblAccounts[Account_ID],tblAccounts[Include],FALSE),FALSE),SUMIFS(tblAcctSummary[Net_Contrib_Base],tblAcctSummary[Account_ID],A56),0))</f>
        <v/>
      </c>
      <c r="G56" s="5">
        <f>IF(A56="","",IF(IFERROR(XLOOKUP(A56,tblAccounts[Account_ID],tblAccounts[Include],FALSE),FALSE),SUMIFS(tblAcctSummary[Income_Interest_Base],tblAcctSummary[Account_ID],A56),0))</f>
        <v/>
      </c>
      <c r="H56" s="5">
        <f>IF(A56="","",IF(IFERROR(XLOOKUP(A56,tblAccounts[Account_ID],tblAccounts[Include],FALSE),FALSE),SUMIFS(tblAcctSummary[Income_Dividends_Base],tblAcctSummary[Account_ID],A56),0))</f>
        <v/>
      </c>
      <c r="I56" s="5">
        <f>IF(A56="","",IF(IFERROR(XLOOKUP(A56,tblAccounts[Account_ID],tblAccounts[Include],FALSE),FALSE),SUMIFS(tblAcctSummary[Income_Other_Base],tblAcctSummary[Account_ID],A56),0))</f>
        <v/>
      </c>
      <c r="J56" s="5">
        <f>IF(A56="","",SUM(G56:I56))</f>
        <v/>
      </c>
      <c r="K56" s="5">
        <f>IF(A56="","",IF(IFERROR(XLOOKUP(A56,tblAccounts[Account_ID],tblAccounts[Include],FALSE),FALSE),SUMIFS(tblAcctSummary[Realized_GL_Base],tblAcctSummary[Account_ID],A56),0))</f>
        <v/>
      </c>
      <c r="L56" s="5">
        <f>IF(A56="","",IF(IFERROR(XLOOKUP(A56,tblAccounts[Account_ID],tblAccounts[Include],FALSE),FALSE),SUMIFS(tblAcctSummary[Fees_Base],tblAcctSummary[Account_ID],A56),0))</f>
        <v/>
      </c>
      <c r="M56" s="5">
        <f>IF(A56="","",IF(IFERROR(XLOOKUP(A56,tblAccounts[Account_ID],tblAccounts[Include],FALSE),FALSE),SUMIFS(tblAcctSummary[Taxes_Base],tblAcctSummary[Account_ID],A56),0))</f>
        <v/>
      </c>
      <c r="N56" s="5">
        <f>IF(A56="","",IF(IFERROR(XLOOKUP(A56,tblAccounts[Account_ID],tblAccounts[Include],FALSE),FALSE),IFERROR(SUMPRODUCT(tblAcctSummary[Return_Period],tblAcctSummary[Begin_Balance_Base],--(tblAcctSummary[Account_ID]=A56))/IF(SUMIFS(tblAcctSummary[Begin_Balance_Base],tblAcctSummary[Account_ID],A56)=0,NA(),SUMIFS(tblAcctSummary[Begin_Balance_Base],tblAcctSummary[Account_ID],A56)),0),0))</f>
        <v/>
      </c>
    </row>
    <row r="57">
      <c r="A57" s="5">
        <f>IFERROR(INDEX(tblAccounts[Account_ID],54),"")</f>
        <v/>
      </c>
      <c r="B57" s="5">
        <f>IF(A57="","",IFERROR(XLOOKUP(A57,tblAccounts[Account_ID],tblAccounts[Account_Name],""),""))</f>
        <v/>
      </c>
      <c r="C57" s="5">
        <f>IF(A57="","",IFERROR(XLOOKUP(A57,tblAccounts[Account_ID],tblAccounts[Household_ID],""),""))</f>
        <v/>
      </c>
      <c r="D57" s="5">
        <f>IF(A57="","",IF(IFERROR(XLOOKUP(A57,tblAccounts[Account_ID],tblAccounts[Include],FALSE),FALSE),SUMIFS(tblAcctSummary[Begin_Balance_Base],tblAcctSummary[Account_ID],A57),0))</f>
        <v/>
      </c>
      <c r="E57" s="5">
        <f>IF(A57="","",IF(IFERROR(XLOOKUP(A57,tblAccounts[Account_ID],tblAccounts[Include],FALSE),FALSE),SUMIFS(tblAcctSummary[End_Balance_Base],tblAcctSummary[Account_ID],A57),0))</f>
        <v/>
      </c>
      <c r="F57" s="5">
        <f>IF(A57="","",IF(IFERROR(XLOOKUP(A57,tblAccounts[Account_ID],tblAccounts[Include],FALSE),FALSE),SUMIFS(tblAcctSummary[Net_Contrib_Base],tblAcctSummary[Account_ID],A57),0))</f>
        <v/>
      </c>
      <c r="G57" s="5">
        <f>IF(A57="","",IF(IFERROR(XLOOKUP(A57,tblAccounts[Account_ID],tblAccounts[Include],FALSE),FALSE),SUMIFS(tblAcctSummary[Income_Interest_Base],tblAcctSummary[Account_ID],A57),0))</f>
        <v/>
      </c>
      <c r="H57" s="5">
        <f>IF(A57="","",IF(IFERROR(XLOOKUP(A57,tblAccounts[Account_ID],tblAccounts[Include],FALSE),FALSE),SUMIFS(tblAcctSummary[Income_Dividends_Base],tblAcctSummary[Account_ID],A57),0))</f>
        <v/>
      </c>
      <c r="I57" s="5">
        <f>IF(A57="","",IF(IFERROR(XLOOKUP(A57,tblAccounts[Account_ID],tblAccounts[Include],FALSE),FALSE),SUMIFS(tblAcctSummary[Income_Other_Base],tblAcctSummary[Account_ID],A57),0))</f>
        <v/>
      </c>
      <c r="J57" s="5">
        <f>IF(A57="","",SUM(G57:I57))</f>
        <v/>
      </c>
      <c r="K57" s="5">
        <f>IF(A57="","",IF(IFERROR(XLOOKUP(A57,tblAccounts[Account_ID],tblAccounts[Include],FALSE),FALSE),SUMIFS(tblAcctSummary[Realized_GL_Base],tblAcctSummary[Account_ID],A57),0))</f>
        <v/>
      </c>
      <c r="L57" s="5">
        <f>IF(A57="","",IF(IFERROR(XLOOKUP(A57,tblAccounts[Account_ID],tblAccounts[Include],FALSE),FALSE),SUMIFS(tblAcctSummary[Fees_Base],tblAcctSummary[Account_ID],A57),0))</f>
        <v/>
      </c>
      <c r="M57" s="5">
        <f>IF(A57="","",IF(IFERROR(XLOOKUP(A57,tblAccounts[Account_ID],tblAccounts[Include],FALSE),FALSE),SUMIFS(tblAcctSummary[Taxes_Base],tblAcctSummary[Account_ID],A57),0))</f>
        <v/>
      </c>
      <c r="N57" s="5">
        <f>IF(A57="","",IF(IFERROR(XLOOKUP(A57,tblAccounts[Account_ID],tblAccounts[Include],FALSE),FALSE),IFERROR(SUMPRODUCT(tblAcctSummary[Return_Period],tblAcctSummary[Begin_Balance_Base],--(tblAcctSummary[Account_ID]=A57))/IF(SUMIFS(tblAcctSummary[Begin_Balance_Base],tblAcctSummary[Account_ID],A57)=0,NA(),SUMIFS(tblAcctSummary[Begin_Balance_Base],tblAcctSummary[Account_ID],A57)),0),0))</f>
        <v/>
      </c>
    </row>
    <row r="58">
      <c r="A58" s="5">
        <f>IFERROR(INDEX(tblAccounts[Account_ID],55),"")</f>
        <v/>
      </c>
      <c r="B58" s="5">
        <f>IF(A58="","",IFERROR(XLOOKUP(A58,tblAccounts[Account_ID],tblAccounts[Account_Name],""),""))</f>
        <v/>
      </c>
      <c r="C58" s="5">
        <f>IF(A58="","",IFERROR(XLOOKUP(A58,tblAccounts[Account_ID],tblAccounts[Household_ID],""),""))</f>
        <v/>
      </c>
      <c r="D58" s="5">
        <f>IF(A58="","",IF(IFERROR(XLOOKUP(A58,tblAccounts[Account_ID],tblAccounts[Include],FALSE),FALSE),SUMIFS(tblAcctSummary[Begin_Balance_Base],tblAcctSummary[Account_ID],A58),0))</f>
        <v/>
      </c>
      <c r="E58" s="5">
        <f>IF(A58="","",IF(IFERROR(XLOOKUP(A58,tblAccounts[Account_ID],tblAccounts[Include],FALSE),FALSE),SUMIFS(tblAcctSummary[End_Balance_Base],tblAcctSummary[Account_ID],A58),0))</f>
        <v/>
      </c>
      <c r="F58" s="5">
        <f>IF(A58="","",IF(IFERROR(XLOOKUP(A58,tblAccounts[Account_ID],tblAccounts[Include],FALSE),FALSE),SUMIFS(tblAcctSummary[Net_Contrib_Base],tblAcctSummary[Account_ID],A58),0))</f>
        <v/>
      </c>
      <c r="G58" s="5">
        <f>IF(A58="","",IF(IFERROR(XLOOKUP(A58,tblAccounts[Account_ID],tblAccounts[Include],FALSE),FALSE),SUMIFS(tblAcctSummary[Income_Interest_Base],tblAcctSummary[Account_ID],A58),0))</f>
        <v/>
      </c>
      <c r="H58" s="5">
        <f>IF(A58="","",IF(IFERROR(XLOOKUP(A58,tblAccounts[Account_ID],tblAccounts[Include],FALSE),FALSE),SUMIFS(tblAcctSummary[Income_Dividends_Base],tblAcctSummary[Account_ID],A58),0))</f>
        <v/>
      </c>
      <c r="I58" s="5">
        <f>IF(A58="","",IF(IFERROR(XLOOKUP(A58,tblAccounts[Account_ID],tblAccounts[Include],FALSE),FALSE),SUMIFS(tblAcctSummary[Income_Other_Base],tblAcctSummary[Account_ID],A58),0))</f>
        <v/>
      </c>
      <c r="J58" s="5">
        <f>IF(A58="","",SUM(G58:I58))</f>
        <v/>
      </c>
      <c r="K58" s="5">
        <f>IF(A58="","",IF(IFERROR(XLOOKUP(A58,tblAccounts[Account_ID],tblAccounts[Include],FALSE),FALSE),SUMIFS(tblAcctSummary[Realized_GL_Base],tblAcctSummary[Account_ID],A58),0))</f>
        <v/>
      </c>
      <c r="L58" s="5">
        <f>IF(A58="","",IF(IFERROR(XLOOKUP(A58,tblAccounts[Account_ID],tblAccounts[Include],FALSE),FALSE),SUMIFS(tblAcctSummary[Fees_Base],tblAcctSummary[Account_ID],A58),0))</f>
        <v/>
      </c>
      <c r="M58" s="5">
        <f>IF(A58="","",IF(IFERROR(XLOOKUP(A58,tblAccounts[Account_ID],tblAccounts[Include],FALSE),FALSE),SUMIFS(tblAcctSummary[Taxes_Base],tblAcctSummary[Account_ID],A58),0))</f>
        <v/>
      </c>
      <c r="N58" s="5">
        <f>IF(A58="","",IF(IFERROR(XLOOKUP(A58,tblAccounts[Account_ID],tblAccounts[Include],FALSE),FALSE),IFERROR(SUMPRODUCT(tblAcctSummary[Return_Period],tblAcctSummary[Begin_Balance_Base],--(tblAcctSummary[Account_ID]=A58))/IF(SUMIFS(tblAcctSummary[Begin_Balance_Base],tblAcctSummary[Account_ID],A58)=0,NA(),SUMIFS(tblAcctSummary[Begin_Balance_Base],tblAcctSummary[Account_ID],A58)),0),0))</f>
        <v/>
      </c>
    </row>
    <row r="59">
      <c r="A59" s="5">
        <f>IFERROR(INDEX(tblAccounts[Account_ID],56),"")</f>
        <v/>
      </c>
      <c r="B59" s="5">
        <f>IF(A59="","",IFERROR(XLOOKUP(A59,tblAccounts[Account_ID],tblAccounts[Account_Name],""),""))</f>
        <v/>
      </c>
      <c r="C59" s="5">
        <f>IF(A59="","",IFERROR(XLOOKUP(A59,tblAccounts[Account_ID],tblAccounts[Household_ID],""),""))</f>
        <v/>
      </c>
      <c r="D59" s="5">
        <f>IF(A59="","",IF(IFERROR(XLOOKUP(A59,tblAccounts[Account_ID],tblAccounts[Include],FALSE),FALSE),SUMIFS(tblAcctSummary[Begin_Balance_Base],tblAcctSummary[Account_ID],A59),0))</f>
        <v/>
      </c>
      <c r="E59" s="5">
        <f>IF(A59="","",IF(IFERROR(XLOOKUP(A59,tblAccounts[Account_ID],tblAccounts[Include],FALSE),FALSE),SUMIFS(tblAcctSummary[End_Balance_Base],tblAcctSummary[Account_ID],A59),0))</f>
        <v/>
      </c>
      <c r="F59" s="5">
        <f>IF(A59="","",IF(IFERROR(XLOOKUP(A59,tblAccounts[Account_ID],tblAccounts[Include],FALSE),FALSE),SUMIFS(tblAcctSummary[Net_Contrib_Base],tblAcctSummary[Account_ID],A59),0))</f>
        <v/>
      </c>
      <c r="G59" s="5">
        <f>IF(A59="","",IF(IFERROR(XLOOKUP(A59,tblAccounts[Account_ID],tblAccounts[Include],FALSE),FALSE),SUMIFS(tblAcctSummary[Income_Interest_Base],tblAcctSummary[Account_ID],A59),0))</f>
        <v/>
      </c>
      <c r="H59" s="5">
        <f>IF(A59="","",IF(IFERROR(XLOOKUP(A59,tblAccounts[Account_ID],tblAccounts[Include],FALSE),FALSE),SUMIFS(tblAcctSummary[Income_Dividends_Base],tblAcctSummary[Account_ID],A59),0))</f>
        <v/>
      </c>
      <c r="I59" s="5">
        <f>IF(A59="","",IF(IFERROR(XLOOKUP(A59,tblAccounts[Account_ID],tblAccounts[Include],FALSE),FALSE),SUMIFS(tblAcctSummary[Income_Other_Base],tblAcctSummary[Account_ID],A59),0))</f>
        <v/>
      </c>
      <c r="J59" s="5">
        <f>IF(A59="","",SUM(G59:I59))</f>
        <v/>
      </c>
      <c r="K59" s="5">
        <f>IF(A59="","",IF(IFERROR(XLOOKUP(A59,tblAccounts[Account_ID],tblAccounts[Include],FALSE),FALSE),SUMIFS(tblAcctSummary[Realized_GL_Base],tblAcctSummary[Account_ID],A59),0))</f>
        <v/>
      </c>
      <c r="L59" s="5">
        <f>IF(A59="","",IF(IFERROR(XLOOKUP(A59,tblAccounts[Account_ID],tblAccounts[Include],FALSE),FALSE),SUMIFS(tblAcctSummary[Fees_Base],tblAcctSummary[Account_ID],A59),0))</f>
        <v/>
      </c>
      <c r="M59" s="5">
        <f>IF(A59="","",IF(IFERROR(XLOOKUP(A59,tblAccounts[Account_ID],tblAccounts[Include],FALSE),FALSE),SUMIFS(tblAcctSummary[Taxes_Base],tblAcctSummary[Account_ID],A59),0))</f>
        <v/>
      </c>
      <c r="N59" s="5">
        <f>IF(A59="","",IF(IFERROR(XLOOKUP(A59,tblAccounts[Account_ID],tblAccounts[Include],FALSE),FALSE),IFERROR(SUMPRODUCT(tblAcctSummary[Return_Period],tblAcctSummary[Begin_Balance_Base],--(tblAcctSummary[Account_ID]=A59))/IF(SUMIFS(tblAcctSummary[Begin_Balance_Base],tblAcctSummary[Account_ID],A59)=0,NA(),SUMIFS(tblAcctSummary[Begin_Balance_Base],tblAcctSummary[Account_ID],A59)),0),0))</f>
        <v/>
      </c>
    </row>
    <row r="60">
      <c r="A60" s="5">
        <f>IFERROR(INDEX(tblAccounts[Account_ID],57),"")</f>
        <v/>
      </c>
      <c r="B60" s="5">
        <f>IF(A60="","",IFERROR(XLOOKUP(A60,tblAccounts[Account_ID],tblAccounts[Account_Name],""),""))</f>
        <v/>
      </c>
      <c r="C60" s="5">
        <f>IF(A60="","",IFERROR(XLOOKUP(A60,tblAccounts[Account_ID],tblAccounts[Household_ID],""),""))</f>
        <v/>
      </c>
      <c r="D60" s="5">
        <f>IF(A60="","",IF(IFERROR(XLOOKUP(A60,tblAccounts[Account_ID],tblAccounts[Include],FALSE),FALSE),SUMIFS(tblAcctSummary[Begin_Balance_Base],tblAcctSummary[Account_ID],A60),0))</f>
        <v/>
      </c>
      <c r="E60" s="5">
        <f>IF(A60="","",IF(IFERROR(XLOOKUP(A60,tblAccounts[Account_ID],tblAccounts[Include],FALSE),FALSE),SUMIFS(tblAcctSummary[End_Balance_Base],tblAcctSummary[Account_ID],A60),0))</f>
        <v/>
      </c>
      <c r="F60" s="5">
        <f>IF(A60="","",IF(IFERROR(XLOOKUP(A60,tblAccounts[Account_ID],tblAccounts[Include],FALSE),FALSE),SUMIFS(tblAcctSummary[Net_Contrib_Base],tblAcctSummary[Account_ID],A60),0))</f>
        <v/>
      </c>
      <c r="G60" s="5">
        <f>IF(A60="","",IF(IFERROR(XLOOKUP(A60,tblAccounts[Account_ID],tblAccounts[Include],FALSE),FALSE),SUMIFS(tblAcctSummary[Income_Interest_Base],tblAcctSummary[Account_ID],A60),0))</f>
        <v/>
      </c>
      <c r="H60" s="5">
        <f>IF(A60="","",IF(IFERROR(XLOOKUP(A60,tblAccounts[Account_ID],tblAccounts[Include],FALSE),FALSE),SUMIFS(tblAcctSummary[Income_Dividends_Base],tblAcctSummary[Account_ID],A60),0))</f>
        <v/>
      </c>
      <c r="I60" s="5">
        <f>IF(A60="","",IF(IFERROR(XLOOKUP(A60,tblAccounts[Account_ID],tblAccounts[Include],FALSE),FALSE),SUMIFS(tblAcctSummary[Income_Other_Base],tblAcctSummary[Account_ID],A60),0))</f>
        <v/>
      </c>
      <c r="J60" s="5">
        <f>IF(A60="","",SUM(G60:I60))</f>
        <v/>
      </c>
      <c r="K60" s="5">
        <f>IF(A60="","",IF(IFERROR(XLOOKUP(A60,tblAccounts[Account_ID],tblAccounts[Include],FALSE),FALSE),SUMIFS(tblAcctSummary[Realized_GL_Base],tblAcctSummary[Account_ID],A60),0))</f>
        <v/>
      </c>
      <c r="L60" s="5">
        <f>IF(A60="","",IF(IFERROR(XLOOKUP(A60,tblAccounts[Account_ID],tblAccounts[Include],FALSE),FALSE),SUMIFS(tblAcctSummary[Fees_Base],tblAcctSummary[Account_ID],A60),0))</f>
        <v/>
      </c>
      <c r="M60" s="5">
        <f>IF(A60="","",IF(IFERROR(XLOOKUP(A60,tblAccounts[Account_ID],tblAccounts[Include],FALSE),FALSE),SUMIFS(tblAcctSummary[Taxes_Base],tblAcctSummary[Account_ID],A60),0))</f>
        <v/>
      </c>
      <c r="N60" s="5">
        <f>IF(A60="","",IF(IFERROR(XLOOKUP(A60,tblAccounts[Account_ID],tblAccounts[Include],FALSE),FALSE),IFERROR(SUMPRODUCT(tblAcctSummary[Return_Period],tblAcctSummary[Begin_Balance_Base],--(tblAcctSummary[Account_ID]=A60))/IF(SUMIFS(tblAcctSummary[Begin_Balance_Base],tblAcctSummary[Account_ID],A60)=0,NA(),SUMIFS(tblAcctSummary[Begin_Balance_Base],tblAcctSummary[Account_ID],A60)),0),0))</f>
        <v/>
      </c>
    </row>
    <row r="61">
      <c r="A61" s="5">
        <f>IFERROR(INDEX(tblAccounts[Account_ID],58),"")</f>
        <v/>
      </c>
      <c r="B61" s="5">
        <f>IF(A61="","",IFERROR(XLOOKUP(A61,tblAccounts[Account_ID],tblAccounts[Account_Name],""),""))</f>
        <v/>
      </c>
      <c r="C61" s="5">
        <f>IF(A61="","",IFERROR(XLOOKUP(A61,tblAccounts[Account_ID],tblAccounts[Household_ID],""),""))</f>
        <v/>
      </c>
      <c r="D61" s="5">
        <f>IF(A61="","",IF(IFERROR(XLOOKUP(A61,tblAccounts[Account_ID],tblAccounts[Include],FALSE),FALSE),SUMIFS(tblAcctSummary[Begin_Balance_Base],tblAcctSummary[Account_ID],A61),0))</f>
        <v/>
      </c>
      <c r="E61" s="5">
        <f>IF(A61="","",IF(IFERROR(XLOOKUP(A61,tblAccounts[Account_ID],tblAccounts[Include],FALSE),FALSE),SUMIFS(tblAcctSummary[End_Balance_Base],tblAcctSummary[Account_ID],A61),0))</f>
        <v/>
      </c>
      <c r="F61" s="5">
        <f>IF(A61="","",IF(IFERROR(XLOOKUP(A61,tblAccounts[Account_ID],tblAccounts[Include],FALSE),FALSE),SUMIFS(tblAcctSummary[Net_Contrib_Base],tblAcctSummary[Account_ID],A61),0))</f>
        <v/>
      </c>
      <c r="G61" s="5">
        <f>IF(A61="","",IF(IFERROR(XLOOKUP(A61,tblAccounts[Account_ID],tblAccounts[Include],FALSE),FALSE),SUMIFS(tblAcctSummary[Income_Interest_Base],tblAcctSummary[Account_ID],A61),0))</f>
        <v/>
      </c>
      <c r="H61" s="5">
        <f>IF(A61="","",IF(IFERROR(XLOOKUP(A61,tblAccounts[Account_ID],tblAccounts[Include],FALSE),FALSE),SUMIFS(tblAcctSummary[Income_Dividends_Base],tblAcctSummary[Account_ID],A61),0))</f>
        <v/>
      </c>
      <c r="I61" s="5">
        <f>IF(A61="","",IF(IFERROR(XLOOKUP(A61,tblAccounts[Account_ID],tblAccounts[Include],FALSE),FALSE),SUMIFS(tblAcctSummary[Income_Other_Base],tblAcctSummary[Account_ID],A61),0))</f>
        <v/>
      </c>
      <c r="J61" s="5">
        <f>IF(A61="","",SUM(G61:I61))</f>
        <v/>
      </c>
      <c r="K61" s="5">
        <f>IF(A61="","",IF(IFERROR(XLOOKUP(A61,tblAccounts[Account_ID],tblAccounts[Include],FALSE),FALSE),SUMIFS(tblAcctSummary[Realized_GL_Base],tblAcctSummary[Account_ID],A61),0))</f>
        <v/>
      </c>
      <c r="L61" s="5">
        <f>IF(A61="","",IF(IFERROR(XLOOKUP(A61,tblAccounts[Account_ID],tblAccounts[Include],FALSE),FALSE),SUMIFS(tblAcctSummary[Fees_Base],tblAcctSummary[Account_ID],A61),0))</f>
        <v/>
      </c>
      <c r="M61" s="5">
        <f>IF(A61="","",IF(IFERROR(XLOOKUP(A61,tblAccounts[Account_ID],tblAccounts[Include],FALSE),FALSE),SUMIFS(tblAcctSummary[Taxes_Base],tblAcctSummary[Account_ID],A61),0))</f>
        <v/>
      </c>
      <c r="N61" s="5">
        <f>IF(A61="","",IF(IFERROR(XLOOKUP(A61,tblAccounts[Account_ID],tblAccounts[Include],FALSE),FALSE),IFERROR(SUMPRODUCT(tblAcctSummary[Return_Period],tblAcctSummary[Begin_Balance_Base],--(tblAcctSummary[Account_ID]=A61))/IF(SUMIFS(tblAcctSummary[Begin_Balance_Base],tblAcctSummary[Account_ID],A61)=0,NA(),SUMIFS(tblAcctSummary[Begin_Balance_Base],tblAcctSummary[Account_ID],A61)),0),0))</f>
        <v/>
      </c>
    </row>
    <row r="62">
      <c r="A62" s="5">
        <f>IFERROR(INDEX(tblAccounts[Account_ID],59),"")</f>
        <v/>
      </c>
      <c r="B62" s="5">
        <f>IF(A62="","",IFERROR(XLOOKUP(A62,tblAccounts[Account_ID],tblAccounts[Account_Name],""),""))</f>
        <v/>
      </c>
      <c r="C62" s="5">
        <f>IF(A62="","",IFERROR(XLOOKUP(A62,tblAccounts[Account_ID],tblAccounts[Household_ID],""),""))</f>
        <v/>
      </c>
      <c r="D62" s="5">
        <f>IF(A62="","",IF(IFERROR(XLOOKUP(A62,tblAccounts[Account_ID],tblAccounts[Include],FALSE),FALSE),SUMIFS(tblAcctSummary[Begin_Balance_Base],tblAcctSummary[Account_ID],A62),0))</f>
        <v/>
      </c>
      <c r="E62" s="5">
        <f>IF(A62="","",IF(IFERROR(XLOOKUP(A62,tblAccounts[Account_ID],tblAccounts[Include],FALSE),FALSE),SUMIFS(tblAcctSummary[End_Balance_Base],tblAcctSummary[Account_ID],A62),0))</f>
        <v/>
      </c>
      <c r="F62" s="5">
        <f>IF(A62="","",IF(IFERROR(XLOOKUP(A62,tblAccounts[Account_ID],tblAccounts[Include],FALSE),FALSE),SUMIFS(tblAcctSummary[Net_Contrib_Base],tblAcctSummary[Account_ID],A62),0))</f>
        <v/>
      </c>
      <c r="G62" s="5">
        <f>IF(A62="","",IF(IFERROR(XLOOKUP(A62,tblAccounts[Account_ID],tblAccounts[Include],FALSE),FALSE),SUMIFS(tblAcctSummary[Income_Interest_Base],tblAcctSummary[Account_ID],A62),0))</f>
        <v/>
      </c>
      <c r="H62" s="5">
        <f>IF(A62="","",IF(IFERROR(XLOOKUP(A62,tblAccounts[Account_ID],tblAccounts[Include],FALSE),FALSE),SUMIFS(tblAcctSummary[Income_Dividends_Base],tblAcctSummary[Account_ID],A62),0))</f>
        <v/>
      </c>
      <c r="I62" s="5">
        <f>IF(A62="","",IF(IFERROR(XLOOKUP(A62,tblAccounts[Account_ID],tblAccounts[Include],FALSE),FALSE),SUMIFS(tblAcctSummary[Income_Other_Base],tblAcctSummary[Account_ID],A62),0))</f>
        <v/>
      </c>
      <c r="J62" s="5">
        <f>IF(A62="","",SUM(G62:I62))</f>
        <v/>
      </c>
      <c r="K62" s="5">
        <f>IF(A62="","",IF(IFERROR(XLOOKUP(A62,tblAccounts[Account_ID],tblAccounts[Include],FALSE),FALSE),SUMIFS(tblAcctSummary[Realized_GL_Base],tblAcctSummary[Account_ID],A62),0))</f>
        <v/>
      </c>
      <c r="L62" s="5">
        <f>IF(A62="","",IF(IFERROR(XLOOKUP(A62,tblAccounts[Account_ID],tblAccounts[Include],FALSE),FALSE),SUMIFS(tblAcctSummary[Fees_Base],tblAcctSummary[Account_ID],A62),0))</f>
        <v/>
      </c>
      <c r="M62" s="5">
        <f>IF(A62="","",IF(IFERROR(XLOOKUP(A62,tblAccounts[Account_ID],tblAccounts[Include],FALSE),FALSE),SUMIFS(tblAcctSummary[Taxes_Base],tblAcctSummary[Account_ID],A62),0))</f>
        <v/>
      </c>
      <c r="N62" s="5">
        <f>IF(A62="","",IF(IFERROR(XLOOKUP(A62,tblAccounts[Account_ID],tblAccounts[Include],FALSE),FALSE),IFERROR(SUMPRODUCT(tblAcctSummary[Return_Period],tblAcctSummary[Begin_Balance_Base],--(tblAcctSummary[Account_ID]=A62))/IF(SUMIFS(tblAcctSummary[Begin_Balance_Base],tblAcctSummary[Account_ID],A62)=0,NA(),SUMIFS(tblAcctSummary[Begin_Balance_Base],tblAcctSummary[Account_ID],A62)),0),0))</f>
        <v/>
      </c>
    </row>
    <row r="63">
      <c r="A63" s="5">
        <f>IFERROR(INDEX(tblAccounts[Account_ID],60),"")</f>
        <v/>
      </c>
      <c r="B63" s="5">
        <f>IF(A63="","",IFERROR(XLOOKUP(A63,tblAccounts[Account_ID],tblAccounts[Account_Name],""),""))</f>
        <v/>
      </c>
      <c r="C63" s="5">
        <f>IF(A63="","",IFERROR(XLOOKUP(A63,tblAccounts[Account_ID],tblAccounts[Household_ID],""),""))</f>
        <v/>
      </c>
      <c r="D63" s="5">
        <f>IF(A63="","",IF(IFERROR(XLOOKUP(A63,tblAccounts[Account_ID],tblAccounts[Include],FALSE),FALSE),SUMIFS(tblAcctSummary[Begin_Balance_Base],tblAcctSummary[Account_ID],A63),0))</f>
        <v/>
      </c>
      <c r="E63" s="5">
        <f>IF(A63="","",IF(IFERROR(XLOOKUP(A63,tblAccounts[Account_ID],tblAccounts[Include],FALSE),FALSE),SUMIFS(tblAcctSummary[End_Balance_Base],tblAcctSummary[Account_ID],A63),0))</f>
        <v/>
      </c>
      <c r="F63" s="5">
        <f>IF(A63="","",IF(IFERROR(XLOOKUP(A63,tblAccounts[Account_ID],tblAccounts[Include],FALSE),FALSE),SUMIFS(tblAcctSummary[Net_Contrib_Base],tblAcctSummary[Account_ID],A63),0))</f>
        <v/>
      </c>
      <c r="G63" s="5">
        <f>IF(A63="","",IF(IFERROR(XLOOKUP(A63,tblAccounts[Account_ID],tblAccounts[Include],FALSE),FALSE),SUMIFS(tblAcctSummary[Income_Interest_Base],tblAcctSummary[Account_ID],A63),0))</f>
        <v/>
      </c>
      <c r="H63" s="5">
        <f>IF(A63="","",IF(IFERROR(XLOOKUP(A63,tblAccounts[Account_ID],tblAccounts[Include],FALSE),FALSE),SUMIFS(tblAcctSummary[Income_Dividends_Base],tblAcctSummary[Account_ID],A63),0))</f>
        <v/>
      </c>
      <c r="I63" s="5">
        <f>IF(A63="","",IF(IFERROR(XLOOKUP(A63,tblAccounts[Account_ID],tblAccounts[Include],FALSE),FALSE),SUMIFS(tblAcctSummary[Income_Other_Base],tblAcctSummary[Account_ID],A63),0))</f>
        <v/>
      </c>
      <c r="J63" s="5">
        <f>IF(A63="","",SUM(G63:I63))</f>
        <v/>
      </c>
      <c r="K63" s="5">
        <f>IF(A63="","",IF(IFERROR(XLOOKUP(A63,tblAccounts[Account_ID],tblAccounts[Include],FALSE),FALSE),SUMIFS(tblAcctSummary[Realized_GL_Base],tblAcctSummary[Account_ID],A63),0))</f>
        <v/>
      </c>
      <c r="L63" s="5">
        <f>IF(A63="","",IF(IFERROR(XLOOKUP(A63,tblAccounts[Account_ID],tblAccounts[Include],FALSE),FALSE),SUMIFS(tblAcctSummary[Fees_Base],tblAcctSummary[Account_ID],A63),0))</f>
        <v/>
      </c>
      <c r="M63" s="5">
        <f>IF(A63="","",IF(IFERROR(XLOOKUP(A63,tblAccounts[Account_ID],tblAccounts[Include],FALSE),FALSE),SUMIFS(tblAcctSummary[Taxes_Base],tblAcctSummary[Account_ID],A63),0))</f>
        <v/>
      </c>
      <c r="N63" s="5">
        <f>IF(A63="","",IF(IFERROR(XLOOKUP(A63,tblAccounts[Account_ID],tblAccounts[Include],FALSE),FALSE),IFERROR(SUMPRODUCT(tblAcctSummary[Return_Period],tblAcctSummary[Begin_Balance_Base],--(tblAcctSummary[Account_ID]=A63))/IF(SUMIFS(tblAcctSummary[Begin_Balance_Base],tblAcctSummary[Account_ID],A63)=0,NA(),SUMIFS(tblAcctSummary[Begin_Balance_Base],tblAcctSummary[Account_ID],A63)),0),0))</f>
        <v/>
      </c>
    </row>
    <row r="64">
      <c r="A64" s="5">
        <f>IFERROR(INDEX(tblAccounts[Account_ID],61),"")</f>
        <v/>
      </c>
      <c r="B64" s="5">
        <f>IF(A64="","",IFERROR(XLOOKUP(A64,tblAccounts[Account_ID],tblAccounts[Account_Name],""),""))</f>
        <v/>
      </c>
      <c r="C64" s="5">
        <f>IF(A64="","",IFERROR(XLOOKUP(A64,tblAccounts[Account_ID],tblAccounts[Household_ID],""),""))</f>
        <v/>
      </c>
      <c r="D64" s="5">
        <f>IF(A64="","",IF(IFERROR(XLOOKUP(A64,tblAccounts[Account_ID],tblAccounts[Include],FALSE),FALSE),SUMIFS(tblAcctSummary[Begin_Balance_Base],tblAcctSummary[Account_ID],A64),0))</f>
        <v/>
      </c>
      <c r="E64" s="5">
        <f>IF(A64="","",IF(IFERROR(XLOOKUP(A64,tblAccounts[Account_ID],tblAccounts[Include],FALSE),FALSE),SUMIFS(tblAcctSummary[End_Balance_Base],tblAcctSummary[Account_ID],A64),0))</f>
        <v/>
      </c>
      <c r="F64" s="5">
        <f>IF(A64="","",IF(IFERROR(XLOOKUP(A64,tblAccounts[Account_ID],tblAccounts[Include],FALSE),FALSE),SUMIFS(tblAcctSummary[Net_Contrib_Base],tblAcctSummary[Account_ID],A64),0))</f>
        <v/>
      </c>
      <c r="G64" s="5">
        <f>IF(A64="","",IF(IFERROR(XLOOKUP(A64,tblAccounts[Account_ID],tblAccounts[Include],FALSE),FALSE),SUMIFS(tblAcctSummary[Income_Interest_Base],tblAcctSummary[Account_ID],A64),0))</f>
        <v/>
      </c>
      <c r="H64" s="5">
        <f>IF(A64="","",IF(IFERROR(XLOOKUP(A64,tblAccounts[Account_ID],tblAccounts[Include],FALSE),FALSE),SUMIFS(tblAcctSummary[Income_Dividends_Base],tblAcctSummary[Account_ID],A64),0))</f>
        <v/>
      </c>
      <c r="I64" s="5">
        <f>IF(A64="","",IF(IFERROR(XLOOKUP(A64,tblAccounts[Account_ID],tblAccounts[Include],FALSE),FALSE),SUMIFS(tblAcctSummary[Income_Other_Base],tblAcctSummary[Account_ID],A64),0))</f>
        <v/>
      </c>
      <c r="J64" s="5">
        <f>IF(A64="","",SUM(G64:I64))</f>
        <v/>
      </c>
      <c r="K64" s="5">
        <f>IF(A64="","",IF(IFERROR(XLOOKUP(A64,tblAccounts[Account_ID],tblAccounts[Include],FALSE),FALSE),SUMIFS(tblAcctSummary[Realized_GL_Base],tblAcctSummary[Account_ID],A64),0))</f>
        <v/>
      </c>
      <c r="L64" s="5">
        <f>IF(A64="","",IF(IFERROR(XLOOKUP(A64,tblAccounts[Account_ID],tblAccounts[Include],FALSE),FALSE),SUMIFS(tblAcctSummary[Fees_Base],tblAcctSummary[Account_ID],A64),0))</f>
        <v/>
      </c>
      <c r="M64" s="5">
        <f>IF(A64="","",IF(IFERROR(XLOOKUP(A64,tblAccounts[Account_ID],tblAccounts[Include],FALSE),FALSE),SUMIFS(tblAcctSummary[Taxes_Base],tblAcctSummary[Account_ID],A64),0))</f>
        <v/>
      </c>
      <c r="N64" s="5">
        <f>IF(A64="","",IF(IFERROR(XLOOKUP(A64,tblAccounts[Account_ID],tblAccounts[Include],FALSE),FALSE),IFERROR(SUMPRODUCT(tblAcctSummary[Return_Period],tblAcctSummary[Begin_Balance_Base],--(tblAcctSummary[Account_ID]=A64))/IF(SUMIFS(tblAcctSummary[Begin_Balance_Base],tblAcctSummary[Account_ID],A64)=0,NA(),SUMIFS(tblAcctSummary[Begin_Balance_Base],tblAcctSummary[Account_ID],A64)),0),0))</f>
        <v/>
      </c>
    </row>
    <row r="65">
      <c r="A65" s="5">
        <f>IFERROR(INDEX(tblAccounts[Account_ID],62),"")</f>
        <v/>
      </c>
      <c r="B65" s="5">
        <f>IF(A65="","",IFERROR(XLOOKUP(A65,tblAccounts[Account_ID],tblAccounts[Account_Name],""),""))</f>
        <v/>
      </c>
      <c r="C65" s="5">
        <f>IF(A65="","",IFERROR(XLOOKUP(A65,tblAccounts[Account_ID],tblAccounts[Household_ID],""),""))</f>
        <v/>
      </c>
      <c r="D65" s="5">
        <f>IF(A65="","",IF(IFERROR(XLOOKUP(A65,tblAccounts[Account_ID],tblAccounts[Include],FALSE),FALSE),SUMIFS(tblAcctSummary[Begin_Balance_Base],tblAcctSummary[Account_ID],A65),0))</f>
        <v/>
      </c>
      <c r="E65" s="5">
        <f>IF(A65="","",IF(IFERROR(XLOOKUP(A65,tblAccounts[Account_ID],tblAccounts[Include],FALSE),FALSE),SUMIFS(tblAcctSummary[End_Balance_Base],tblAcctSummary[Account_ID],A65),0))</f>
        <v/>
      </c>
      <c r="F65" s="5">
        <f>IF(A65="","",IF(IFERROR(XLOOKUP(A65,tblAccounts[Account_ID],tblAccounts[Include],FALSE),FALSE),SUMIFS(tblAcctSummary[Net_Contrib_Base],tblAcctSummary[Account_ID],A65),0))</f>
        <v/>
      </c>
      <c r="G65" s="5">
        <f>IF(A65="","",IF(IFERROR(XLOOKUP(A65,tblAccounts[Account_ID],tblAccounts[Include],FALSE),FALSE),SUMIFS(tblAcctSummary[Income_Interest_Base],tblAcctSummary[Account_ID],A65),0))</f>
        <v/>
      </c>
      <c r="H65" s="5">
        <f>IF(A65="","",IF(IFERROR(XLOOKUP(A65,tblAccounts[Account_ID],tblAccounts[Include],FALSE),FALSE),SUMIFS(tblAcctSummary[Income_Dividends_Base],tblAcctSummary[Account_ID],A65),0))</f>
        <v/>
      </c>
      <c r="I65" s="5">
        <f>IF(A65="","",IF(IFERROR(XLOOKUP(A65,tblAccounts[Account_ID],tblAccounts[Include],FALSE),FALSE),SUMIFS(tblAcctSummary[Income_Other_Base],tblAcctSummary[Account_ID],A65),0))</f>
        <v/>
      </c>
      <c r="J65" s="5">
        <f>IF(A65="","",SUM(G65:I65))</f>
        <v/>
      </c>
      <c r="K65" s="5">
        <f>IF(A65="","",IF(IFERROR(XLOOKUP(A65,tblAccounts[Account_ID],tblAccounts[Include],FALSE),FALSE),SUMIFS(tblAcctSummary[Realized_GL_Base],tblAcctSummary[Account_ID],A65),0))</f>
        <v/>
      </c>
      <c r="L65" s="5">
        <f>IF(A65="","",IF(IFERROR(XLOOKUP(A65,tblAccounts[Account_ID],tblAccounts[Include],FALSE),FALSE),SUMIFS(tblAcctSummary[Fees_Base],tblAcctSummary[Account_ID],A65),0))</f>
        <v/>
      </c>
      <c r="M65" s="5">
        <f>IF(A65="","",IF(IFERROR(XLOOKUP(A65,tblAccounts[Account_ID],tblAccounts[Include],FALSE),FALSE),SUMIFS(tblAcctSummary[Taxes_Base],tblAcctSummary[Account_ID],A65),0))</f>
        <v/>
      </c>
      <c r="N65" s="5">
        <f>IF(A65="","",IF(IFERROR(XLOOKUP(A65,tblAccounts[Account_ID],tblAccounts[Include],FALSE),FALSE),IFERROR(SUMPRODUCT(tblAcctSummary[Return_Period],tblAcctSummary[Begin_Balance_Base],--(tblAcctSummary[Account_ID]=A65))/IF(SUMIFS(tblAcctSummary[Begin_Balance_Base],tblAcctSummary[Account_ID],A65)=0,NA(),SUMIFS(tblAcctSummary[Begin_Balance_Base],tblAcctSummary[Account_ID],A65)),0),0))</f>
        <v/>
      </c>
    </row>
    <row r="66">
      <c r="A66" s="5">
        <f>IFERROR(INDEX(tblAccounts[Account_ID],63),"")</f>
        <v/>
      </c>
      <c r="B66" s="5">
        <f>IF(A66="","",IFERROR(XLOOKUP(A66,tblAccounts[Account_ID],tblAccounts[Account_Name],""),""))</f>
        <v/>
      </c>
      <c r="C66" s="5">
        <f>IF(A66="","",IFERROR(XLOOKUP(A66,tblAccounts[Account_ID],tblAccounts[Household_ID],""),""))</f>
        <v/>
      </c>
      <c r="D66" s="5">
        <f>IF(A66="","",IF(IFERROR(XLOOKUP(A66,tblAccounts[Account_ID],tblAccounts[Include],FALSE),FALSE),SUMIFS(tblAcctSummary[Begin_Balance_Base],tblAcctSummary[Account_ID],A66),0))</f>
        <v/>
      </c>
      <c r="E66" s="5">
        <f>IF(A66="","",IF(IFERROR(XLOOKUP(A66,tblAccounts[Account_ID],tblAccounts[Include],FALSE),FALSE),SUMIFS(tblAcctSummary[End_Balance_Base],tblAcctSummary[Account_ID],A66),0))</f>
        <v/>
      </c>
      <c r="F66" s="5">
        <f>IF(A66="","",IF(IFERROR(XLOOKUP(A66,tblAccounts[Account_ID],tblAccounts[Include],FALSE),FALSE),SUMIFS(tblAcctSummary[Net_Contrib_Base],tblAcctSummary[Account_ID],A66),0))</f>
        <v/>
      </c>
      <c r="G66" s="5">
        <f>IF(A66="","",IF(IFERROR(XLOOKUP(A66,tblAccounts[Account_ID],tblAccounts[Include],FALSE),FALSE),SUMIFS(tblAcctSummary[Income_Interest_Base],tblAcctSummary[Account_ID],A66),0))</f>
        <v/>
      </c>
      <c r="H66" s="5">
        <f>IF(A66="","",IF(IFERROR(XLOOKUP(A66,tblAccounts[Account_ID],tblAccounts[Include],FALSE),FALSE),SUMIFS(tblAcctSummary[Income_Dividends_Base],tblAcctSummary[Account_ID],A66),0))</f>
        <v/>
      </c>
      <c r="I66" s="5">
        <f>IF(A66="","",IF(IFERROR(XLOOKUP(A66,tblAccounts[Account_ID],tblAccounts[Include],FALSE),FALSE),SUMIFS(tblAcctSummary[Income_Other_Base],tblAcctSummary[Account_ID],A66),0))</f>
        <v/>
      </c>
      <c r="J66" s="5">
        <f>IF(A66="","",SUM(G66:I66))</f>
        <v/>
      </c>
      <c r="K66" s="5">
        <f>IF(A66="","",IF(IFERROR(XLOOKUP(A66,tblAccounts[Account_ID],tblAccounts[Include],FALSE),FALSE),SUMIFS(tblAcctSummary[Realized_GL_Base],tblAcctSummary[Account_ID],A66),0))</f>
        <v/>
      </c>
      <c r="L66" s="5">
        <f>IF(A66="","",IF(IFERROR(XLOOKUP(A66,tblAccounts[Account_ID],tblAccounts[Include],FALSE),FALSE),SUMIFS(tblAcctSummary[Fees_Base],tblAcctSummary[Account_ID],A66),0))</f>
        <v/>
      </c>
      <c r="M66" s="5">
        <f>IF(A66="","",IF(IFERROR(XLOOKUP(A66,tblAccounts[Account_ID],tblAccounts[Include],FALSE),FALSE),SUMIFS(tblAcctSummary[Taxes_Base],tblAcctSummary[Account_ID],A66),0))</f>
        <v/>
      </c>
      <c r="N66" s="5">
        <f>IF(A66="","",IF(IFERROR(XLOOKUP(A66,tblAccounts[Account_ID],tblAccounts[Include],FALSE),FALSE),IFERROR(SUMPRODUCT(tblAcctSummary[Return_Period],tblAcctSummary[Begin_Balance_Base],--(tblAcctSummary[Account_ID]=A66))/IF(SUMIFS(tblAcctSummary[Begin_Balance_Base],tblAcctSummary[Account_ID],A66)=0,NA(),SUMIFS(tblAcctSummary[Begin_Balance_Base],tblAcctSummary[Account_ID],A66)),0),0))</f>
        <v/>
      </c>
    </row>
    <row r="67">
      <c r="A67" s="5">
        <f>IFERROR(INDEX(tblAccounts[Account_ID],64),"")</f>
        <v/>
      </c>
      <c r="B67" s="5">
        <f>IF(A67="","",IFERROR(XLOOKUP(A67,tblAccounts[Account_ID],tblAccounts[Account_Name],""),""))</f>
        <v/>
      </c>
      <c r="C67" s="5">
        <f>IF(A67="","",IFERROR(XLOOKUP(A67,tblAccounts[Account_ID],tblAccounts[Household_ID],""),""))</f>
        <v/>
      </c>
      <c r="D67" s="5">
        <f>IF(A67="","",IF(IFERROR(XLOOKUP(A67,tblAccounts[Account_ID],tblAccounts[Include],FALSE),FALSE),SUMIFS(tblAcctSummary[Begin_Balance_Base],tblAcctSummary[Account_ID],A67),0))</f>
        <v/>
      </c>
      <c r="E67" s="5">
        <f>IF(A67="","",IF(IFERROR(XLOOKUP(A67,tblAccounts[Account_ID],tblAccounts[Include],FALSE),FALSE),SUMIFS(tblAcctSummary[End_Balance_Base],tblAcctSummary[Account_ID],A67),0))</f>
        <v/>
      </c>
      <c r="F67" s="5">
        <f>IF(A67="","",IF(IFERROR(XLOOKUP(A67,tblAccounts[Account_ID],tblAccounts[Include],FALSE),FALSE),SUMIFS(tblAcctSummary[Net_Contrib_Base],tblAcctSummary[Account_ID],A67),0))</f>
        <v/>
      </c>
      <c r="G67" s="5">
        <f>IF(A67="","",IF(IFERROR(XLOOKUP(A67,tblAccounts[Account_ID],tblAccounts[Include],FALSE),FALSE),SUMIFS(tblAcctSummary[Income_Interest_Base],tblAcctSummary[Account_ID],A67),0))</f>
        <v/>
      </c>
      <c r="H67" s="5">
        <f>IF(A67="","",IF(IFERROR(XLOOKUP(A67,tblAccounts[Account_ID],tblAccounts[Include],FALSE),FALSE),SUMIFS(tblAcctSummary[Income_Dividends_Base],tblAcctSummary[Account_ID],A67),0))</f>
        <v/>
      </c>
      <c r="I67" s="5">
        <f>IF(A67="","",IF(IFERROR(XLOOKUP(A67,tblAccounts[Account_ID],tblAccounts[Include],FALSE),FALSE),SUMIFS(tblAcctSummary[Income_Other_Base],tblAcctSummary[Account_ID],A67),0))</f>
        <v/>
      </c>
      <c r="J67" s="5">
        <f>IF(A67="","",SUM(G67:I67))</f>
        <v/>
      </c>
      <c r="K67" s="5">
        <f>IF(A67="","",IF(IFERROR(XLOOKUP(A67,tblAccounts[Account_ID],tblAccounts[Include],FALSE),FALSE),SUMIFS(tblAcctSummary[Realized_GL_Base],tblAcctSummary[Account_ID],A67),0))</f>
        <v/>
      </c>
      <c r="L67" s="5">
        <f>IF(A67="","",IF(IFERROR(XLOOKUP(A67,tblAccounts[Account_ID],tblAccounts[Include],FALSE),FALSE),SUMIFS(tblAcctSummary[Fees_Base],tblAcctSummary[Account_ID],A67),0))</f>
        <v/>
      </c>
      <c r="M67" s="5">
        <f>IF(A67="","",IF(IFERROR(XLOOKUP(A67,tblAccounts[Account_ID],tblAccounts[Include],FALSE),FALSE),SUMIFS(tblAcctSummary[Taxes_Base],tblAcctSummary[Account_ID],A67),0))</f>
        <v/>
      </c>
      <c r="N67" s="5">
        <f>IF(A67="","",IF(IFERROR(XLOOKUP(A67,tblAccounts[Account_ID],tblAccounts[Include],FALSE),FALSE),IFERROR(SUMPRODUCT(tblAcctSummary[Return_Period],tblAcctSummary[Begin_Balance_Base],--(tblAcctSummary[Account_ID]=A67))/IF(SUMIFS(tblAcctSummary[Begin_Balance_Base],tblAcctSummary[Account_ID],A67)=0,NA(),SUMIFS(tblAcctSummary[Begin_Balance_Base],tblAcctSummary[Account_ID],A67)),0),0))</f>
        <v/>
      </c>
    </row>
    <row r="68">
      <c r="A68" s="5">
        <f>IFERROR(INDEX(tblAccounts[Account_ID],65),"")</f>
        <v/>
      </c>
      <c r="B68" s="5">
        <f>IF(A68="","",IFERROR(XLOOKUP(A68,tblAccounts[Account_ID],tblAccounts[Account_Name],""),""))</f>
        <v/>
      </c>
      <c r="C68" s="5">
        <f>IF(A68="","",IFERROR(XLOOKUP(A68,tblAccounts[Account_ID],tblAccounts[Household_ID],""),""))</f>
        <v/>
      </c>
      <c r="D68" s="5">
        <f>IF(A68="","",IF(IFERROR(XLOOKUP(A68,tblAccounts[Account_ID],tblAccounts[Include],FALSE),FALSE),SUMIFS(tblAcctSummary[Begin_Balance_Base],tblAcctSummary[Account_ID],A68),0))</f>
        <v/>
      </c>
      <c r="E68" s="5">
        <f>IF(A68="","",IF(IFERROR(XLOOKUP(A68,tblAccounts[Account_ID],tblAccounts[Include],FALSE),FALSE),SUMIFS(tblAcctSummary[End_Balance_Base],tblAcctSummary[Account_ID],A68),0))</f>
        <v/>
      </c>
      <c r="F68" s="5">
        <f>IF(A68="","",IF(IFERROR(XLOOKUP(A68,tblAccounts[Account_ID],tblAccounts[Include],FALSE),FALSE),SUMIFS(tblAcctSummary[Net_Contrib_Base],tblAcctSummary[Account_ID],A68),0))</f>
        <v/>
      </c>
      <c r="G68" s="5">
        <f>IF(A68="","",IF(IFERROR(XLOOKUP(A68,tblAccounts[Account_ID],tblAccounts[Include],FALSE),FALSE),SUMIFS(tblAcctSummary[Income_Interest_Base],tblAcctSummary[Account_ID],A68),0))</f>
        <v/>
      </c>
      <c r="H68" s="5">
        <f>IF(A68="","",IF(IFERROR(XLOOKUP(A68,tblAccounts[Account_ID],tblAccounts[Include],FALSE),FALSE),SUMIFS(tblAcctSummary[Income_Dividends_Base],tblAcctSummary[Account_ID],A68),0))</f>
        <v/>
      </c>
      <c r="I68" s="5">
        <f>IF(A68="","",IF(IFERROR(XLOOKUP(A68,tblAccounts[Account_ID],tblAccounts[Include],FALSE),FALSE),SUMIFS(tblAcctSummary[Income_Other_Base],tblAcctSummary[Account_ID],A68),0))</f>
        <v/>
      </c>
      <c r="J68" s="5">
        <f>IF(A68="","",SUM(G68:I68))</f>
        <v/>
      </c>
      <c r="K68" s="5">
        <f>IF(A68="","",IF(IFERROR(XLOOKUP(A68,tblAccounts[Account_ID],tblAccounts[Include],FALSE),FALSE),SUMIFS(tblAcctSummary[Realized_GL_Base],tblAcctSummary[Account_ID],A68),0))</f>
        <v/>
      </c>
      <c r="L68" s="5">
        <f>IF(A68="","",IF(IFERROR(XLOOKUP(A68,tblAccounts[Account_ID],tblAccounts[Include],FALSE),FALSE),SUMIFS(tblAcctSummary[Fees_Base],tblAcctSummary[Account_ID],A68),0))</f>
        <v/>
      </c>
      <c r="M68" s="5">
        <f>IF(A68="","",IF(IFERROR(XLOOKUP(A68,tblAccounts[Account_ID],tblAccounts[Include],FALSE),FALSE),SUMIFS(tblAcctSummary[Taxes_Base],tblAcctSummary[Account_ID],A68),0))</f>
        <v/>
      </c>
      <c r="N68" s="5">
        <f>IF(A68="","",IF(IFERROR(XLOOKUP(A68,tblAccounts[Account_ID],tblAccounts[Include],FALSE),FALSE),IFERROR(SUMPRODUCT(tblAcctSummary[Return_Period],tblAcctSummary[Begin_Balance_Base],--(tblAcctSummary[Account_ID]=A68))/IF(SUMIFS(tblAcctSummary[Begin_Balance_Base],tblAcctSummary[Account_ID],A68)=0,NA(),SUMIFS(tblAcctSummary[Begin_Balance_Base],tblAcctSummary[Account_ID],A68)),0),0))</f>
        <v/>
      </c>
    </row>
    <row r="69">
      <c r="A69" s="5">
        <f>IFERROR(INDEX(tblAccounts[Account_ID],66),"")</f>
        <v/>
      </c>
      <c r="B69" s="5">
        <f>IF(A69="","",IFERROR(XLOOKUP(A69,tblAccounts[Account_ID],tblAccounts[Account_Name],""),""))</f>
        <v/>
      </c>
      <c r="C69" s="5">
        <f>IF(A69="","",IFERROR(XLOOKUP(A69,tblAccounts[Account_ID],tblAccounts[Household_ID],""),""))</f>
        <v/>
      </c>
      <c r="D69" s="5">
        <f>IF(A69="","",IF(IFERROR(XLOOKUP(A69,tblAccounts[Account_ID],tblAccounts[Include],FALSE),FALSE),SUMIFS(tblAcctSummary[Begin_Balance_Base],tblAcctSummary[Account_ID],A69),0))</f>
        <v/>
      </c>
      <c r="E69" s="5">
        <f>IF(A69="","",IF(IFERROR(XLOOKUP(A69,tblAccounts[Account_ID],tblAccounts[Include],FALSE),FALSE),SUMIFS(tblAcctSummary[End_Balance_Base],tblAcctSummary[Account_ID],A69),0))</f>
        <v/>
      </c>
      <c r="F69" s="5">
        <f>IF(A69="","",IF(IFERROR(XLOOKUP(A69,tblAccounts[Account_ID],tblAccounts[Include],FALSE),FALSE),SUMIFS(tblAcctSummary[Net_Contrib_Base],tblAcctSummary[Account_ID],A69),0))</f>
        <v/>
      </c>
      <c r="G69" s="5">
        <f>IF(A69="","",IF(IFERROR(XLOOKUP(A69,tblAccounts[Account_ID],tblAccounts[Include],FALSE),FALSE),SUMIFS(tblAcctSummary[Income_Interest_Base],tblAcctSummary[Account_ID],A69),0))</f>
        <v/>
      </c>
      <c r="H69" s="5">
        <f>IF(A69="","",IF(IFERROR(XLOOKUP(A69,tblAccounts[Account_ID],tblAccounts[Include],FALSE),FALSE),SUMIFS(tblAcctSummary[Income_Dividends_Base],tblAcctSummary[Account_ID],A69),0))</f>
        <v/>
      </c>
      <c r="I69" s="5">
        <f>IF(A69="","",IF(IFERROR(XLOOKUP(A69,tblAccounts[Account_ID],tblAccounts[Include],FALSE),FALSE),SUMIFS(tblAcctSummary[Income_Other_Base],tblAcctSummary[Account_ID],A69),0))</f>
        <v/>
      </c>
      <c r="J69" s="5">
        <f>IF(A69="","",SUM(G69:I69))</f>
        <v/>
      </c>
      <c r="K69" s="5">
        <f>IF(A69="","",IF(IFERROR(XLOOKUP(A69,tblAccounts[Account_ID],tblAccounts[Include],FALSE),FALSE),SUMIFS(tblAcctSummary[Realized_GL_Base],tblAcctSummary[Account_ID],A69),0))</f>
        <v/>
      </c>
      <c r="L69" s="5">
        <f>IF(A69="","",IF(IFERROR(XLOOKUP(A69,tblAccounts[Account_ID],tblAccounts[Include],FALSE),FALSE),SUMIFS(tblAcctSummary[Fees_Base],tblAcctSummary[Account_ID],A69),0))</f>
        <v/>
      </c>
      <c r="M69" s="5">
        <f>IF(A69="","",IF(IFERROR(XLOOKUP(A69,tblAccounts[Account_ID],tblAccounts[Include],FALSE),FALSE),SUMIFS(tblAcctSummary[Taxes_Base],tblAcctSummary[Account_ID],A69),0))</f>
        <v/>
      </c>
      <c r="N69" s="5">
        <f>IF(A69="","",IF(IFERROR(XLOOKUP(A69,tblAccounts[Account_ID],tblAccounts[Include],FALSE),FALSE),IFERROR(SUMPRODUCT(tblAcctSummary[Return_Period],tblAcctSummary[Begin_Balance_Base],--(tblAcctSummary[Account_ID]=A69))/IF(SUMIFS(tblAcctSummary[Begin_Balance_Base],tblAcctSummary[Account_ID],A69)=0,NA(),SUMIFS(tblAcctSummary[Begin_Balance_Base],tblAcctSummary[Account_ID],A69)),0),0))</f>
        <v/>
      </c>
    </row>
    <row r="70">
      <c r="A70" s="5">
        <f>IFERROR(INDEX(tblAccounts[Account_ID],67),"")</f>
        <v/>
      </c>
      <c r="B70" s="5">
        <f>IF(A70="","",IFERROR(XLOOKUP(A70,tblAccounts[Account_ID],tblAccounts[Account_Name],""),""))</f>
        <v/>
      </c>
      <c r="C70" s="5">
        <f>IF(A70="","",IFERROR(XLOOKUP(A70,tblAccounts[Account_ID],tblAccounts[Household_ID],""),""))</f>
        <v/>
      </c>
      <c r="D70" s="5">
        <f>IF(A70="","",IF(IFERROR(XLOOKUP(A70,tblAccounts[Account_ID],tblAccounts[Include],FALSE),FALSE),SUMIFS(tblAcctSummary[Begin_Balance_Base],tblAcctSummary[Account_ID],A70),0))</f>
        <v/>
      </c>
      <c r="E70" s="5">
        <f>IF(A70="","",IF(IFERROR(XLOOKUP(A70,tblAccounts[Account_ID],tblAccounts[Include],FALSE),FALSE),SUMIFS(tblAcctSummary[End_Balance_Base],tblAcctSummary[Account_ID],A70),0))</f>
        <v/>
      </c>
      <c r="F70" s="5">
        <f>IF(A70="","",IF(IFERROR(XLOOKUP(A70,tblAccounts[Account_ID],tblAccounts[Include],FALSE),FALSE),SUMIFS(tblAcctSummary[Net_Contrib_Base],tblAcctSummary[Account_ID],A70),0))</f>
        <v/>
      </c>
      <c r="G70" s="5">
        <f>IF(A70="","",IF(IFERROR(XLOOKUP(A70,tblAccounts[Account_ID],tblAccounts[Include],FALSE),FALSE),SUMIFS(tblAcctSummary[Income_Interest_Base],tblAcctSummary[Account_ID],A70),0))</f>
        <v/>
      </c>
      <c r="H70" s="5">
        <f>IF(A70="","",IF(IFERROR(XLOOKUP(A70,tblAccounts[Account_ID],tblAccounts[Include],FALSE),FALSE),SUMIFS(tblAcctSummary[Income_Dividends_Base],tblAcctSummary[Account_ID],A70),0))</f>
        <v/>
      </c>
      <c r="I70" s="5">
        <f>IF(A70="","",IF(IFERROR(XLOOKUP(A70,tblAccounts[Account_ID],tblAccounts[Include],FALSE),FALSE),SUMIFS(tblAcctSummary[Income_Other_Base],tblAcctSummary[Account_ID],A70),0))</f>
        <v/>
      </c>
      <c r="J70" s="5">
        <f>IF(A70="","",SUM(G70:I70))</f>
        <v/>
      </c>
      <c r="K70" s="5">
        <f>IF(A70="","",IF(IFERROR(XLOOKUP(A70,tblAccounts[Account_ID],tblAccounts[Include],FALSE),FALSE),SUMIFS(tblAcctSummary[Realized_GL_Base],tblAcctSummary[Account_ID],A70),0))</f>
        <v/>
      </c>
      <c r="L70" s="5">
        <f>IF(A70="","",IF(IFERROR(XLOOKUP(A70,tblAccounts[Account_ID],tblAccounts[Include],FALSE),FALSE),SUMIFS(tblAcctSummary[Fees_Base],tblAcctSummary[Account_ID],A70),0))</f>
        <v/>
      </c>
      <c r="M70" s="5">
        <f>IF(A70="","",IF(IFERROR(XLOOKUP(A70,tblAccounts[Account_ID],tblAccounts[Include],FALSE),FALSE),SUMIFS(tblAcctSummary[Taxes_Base],tblAcctSummary[Account_ID],A70),0))</f>
        <v/>
      </c>
      <c r="N70" s="5">
        <f>IF(A70="","",IF(IFERROR(XLOOKUP(A70,tblAccounts[Account_ID],tblAccounts[Include],FALSE),FALSE),IFERROR(SUMPRODUCT(tblAcctSummary[Return_Period],tblAcctSummary[Begin_Balance_Base],--(tblAcctSummary[Account_ID]=A70))/IF(SUMIFS(tblAcctSummary[Begin_Balance_Base],tblAcctSummary[Account_ID],A70)=0,NA(),SUMIFS(tblAcctSummary[Begin_Balance_Base],tblAcctSummary[Account_ID],A70)),0),0))</f>
        <v/>
      </c>
    </row>
    <row r="71">
      <c r="A71" s="5">
        <f>IFERROR(INDEX(tblAccounts[Account_ID],68),"")</f>
        <v/>
      </c>
      <c r="B71" s="5">
        <f>IF(A71="","",IFERROR(XLOOKUP(A71,tblAccounts[Account_ID],tblAccounts[Account_Name],""),""))</f>
        <v/>
      </c>
      <c r="C71" s="5">
        <f>IF(A71="","",IFERROR(XLOOKUP(A71,tblAccounts[Account_ID],tblAccounts[Household_ID],""),""))</f>
        <v/>
      </c>
      <c r="D71" s="5">
        <f>IF(A71="","",IF(IFERROR(XLOOKUP(A71,tblAccounts[Account_ID],tblAccounts[Include],FALSE),FALSE),SUMIFS(tblAcctSummary[Begin_Balance_Base],tblAcctSummary[Account_ID],A71),0))</f>
        <v/>
      </c>
      <c r="E71" s="5">
        <f>IF(A71="","",IF(IFERROR(XLOOKUP(A71,tblAccounts[Account_ID],tblAccounts[Include],FALSE),FALSE),SUMIFS(tblAcctSummary[End_Balance_Base],tblAcctSummary[Account_ID],A71),0))</f>
        <v/>
      </c>
      <c r="F71" s="5">
        <f>IF(A71="","",IF(IFERROR(XLOOKUP(A71,tblAccounts[Account_ID],tblAccounts[Include],FALSE),FALSE),SUMIFS(tblAcctSummary[Net_Contrib_Base],tblAcctSummary[Account_ID],A71),0))</f>
        <v/>
      </c>
      <c r="G71" s="5">
        <f>IF(A71="","",IF(IFERROR(XLOOKUP(A71,tblAccounts[Account_ID],tblAccounts[Include],FALSE),FALSE),SUMIFS(tblAcctSummary[Income_Interest_Base],tblAcctSummary[Account_ID],A71),0))</f>
        <v/>
      </c>
      <c r="H71" s="5">
        <f>IF(A71="","",IF(IFERROR(XLOOKUP(A71,tblAccounts[Account_ID],tblAccounts[Include],FALSE),FALSE),SUMIFS(tblAcctSummary[Income_Dividends_Base],tblAcctSummary[Account_ID],A71),0))</f>
        <v/>
      </c>
      <c r="I71" s="5">
        <f>IF(A71="","",IF(IFERROR(XLOOKUP(A71,tblAccounts[Account_ID],tblAccounts[Include],FALSE),FALSE),SUMIFS(tblAcctSummary[Income_Other_Base],tblAcctSummary[Account_ID],A71),0))</f>
        <v/>
      </c>
      <c r="J71" s="5">
        <f>IF(A71="","",SUM(G71:I71))</f>
        <v/>
      </c>
      <c r="K71" s="5">
        <f>IF(A71="","",IF(IFERROR(XLOOKUP(A71,tblAccounts[Account_ID],tblAccounts[Include],FALSE),FALSE),SUMIFS(tblAcctSummary[Realized_GL_Base],tblAcctSummary[Account_ID],A71),0))</f>
        <v/>
      </c>
      <c r="L71" s="5">
        <f>IF(A71="","",IF(IFERROR(XLOOKUP(A71,tblAccounts[Account_ID],tblAccounts[Include],FALSE),FALSE),SUMIFS(tblAcctSummary[Fees_Base],tblAcctSummary[Account_ID],A71),0))</f>
        <v/>
      </c>
      <c r="M71" s="5">
        <f>IF(A71="","",IF(IFERROR(XLOOKUP(A71,tblAccounts[Account_ID],tblAccounts[Include],FALSE),FALSE),SUMIFS(tblAcctSummary[Taxes_Base],tblAcctSummary[Account_ID],A71),0))</f>
        <v/>
      </c>
      <c r="N71" s="5">
        <f>IF(A71="","",IF(IFERROR(XLOOKUP(A71,tblAccounts[Account_ID],tblAccounts[Include],FALSE),FALSE),IFERROR(SUMPRODUCT(tblAcctSummary[Return_Period],tblAcctSummary[Begin_Balance_Base],--(tblAcctSummary[Account_ID]=A71))/IF(SUMIFS(tblAcctSummary[Begin_Balance_Base],tblAcctSummary[Account_ID],A71)=0,NA(),SUMIFS(tblAcctSummary[Begin_Balance_Base],tblAcctSummary[Account_ID],A71)),0),0))</f>
        <v/>
      </c>
    </row>
    <row r="72">
      <c r="A72" s="5">
        <f>IFERROR(INDEX(tblAccounts[Account_ID],69),"")</f>
        <v/>
      </c>
      <c r="B72" s="5">
        <f>IF(A72="","",IFERROR(XLOOKUP(A72,tblAccounts[Account_ID],tblAccounts[Account_Name],""),""))</f>
        <v/>
      </c>
      <c r="C72" s="5">
        <f>IF(A72="","",IFERROR(XLOOKUP(A72,tblAccounts[Account_ID],tblAccounts[Household_ID],""),""))</f>
        <v/>
      </c>
      <c r="D72" s="5">
        <f>IF(A72="","",IF(IFERROR(XLOOKUP(A72,tblAccounts[Account_ID],tblAccounts[Include],FALSE),FALSE),SUMIFS(tblAcctSummary[Begin_Balance_Base],tblAcctSummary[Account_ID],A72),0))</f>
        <v/>
      </c>
      <c r="E72" s="5">
        <f>IF(A72="","",IF(IFERROR(XLOOKUP(A72,tblAccounts[Account_ID],tblAccounts[Include],FALSE),FALSE),SUMIFS(tblAcctSummary[End_Balance_Base],tblAcctSummary[Account_ID],A72),0))</f>
        <v/>
      </c>
      <c r="F72" s="5">
        <f>IF(A72="","",IF(IFERROR(XLOOKUP(A72,tblAccounts[Account_ID],tblAccounts[Include],FALSE),FALSE),SUMIFS(tblAcctSummary[Net_Contrib_Base],tblAcctSummary[Account_ID],A72),0))</f>
        <v/>
      </c>
      <c r="G72" s="5">
        <f>IF(A72="","",IF(IFERROR(XLOOKUP(A72,tblAccounts[Account_ID],tblAccounts[Include],FALSE),FALSE),SUMIFS(tblAcctSummary[Income_Interest_Base],tblAcctSummary[Account_ID],A72),0))</f>
        <v/>
      </c>
      <c r="H72" s="5">
        <f>IF(A72="","",IF(IFERROR(XLOOKUP(A72,tblAccounts[Account_ID],tblAccounts[Include],FALSE),FALSE),SUMIFS(tblAcctSummary[Income_Dividends_Base],tblAcctSummary[Account_ID],A72),0))</f>
        <v/>
      </c>
      <c r="I72" s="5">
        <f>IF(A72="","",IF(IFERROR(XLOOKUP(A72,tblAccounts[Account_ID],tblAccounts[Include],FALSE),FALSE),SUMIFS(tblAcctSummary[Income_Other_Base],tblAcctSummary[Account_ID],A72),0))</f>
        <v/>
      </c>
      <c r="J72" s="5">
        <f>IF(A72="","",SUM(G72:I72))</f>
        <v/>
      </c>
      <c r="K72" s="5">
        <f>IF(A72="","",IF(IFERROR(XLOOKUP(A72,tblAccounts[Account_ID],tblAccounts[Include],FALSE),FALSE),SUMIFS(tblAcctSummary[Realized_GL_Base],tblAcctSummary[Account_ID],A72),0))</f>
        <v/>
      </c>
      <c r="L72" s="5">
        <f>IF(A72="","",IF(IFERROR(XLOOKUP(A72,tblAccounts[Account_ID],tblAccounts[Include],FALSE),FALSE),SUMIFS(tblAcctSummary[Fees_Base],tblAcctSummary[Account_ID],A72),0))</f>
        <v/>
      </c>
      <c r="M72" s="5">
        <f>IF(A72="","",IF(IFERROR(XLOOKUP(A72,tblAccounts[Account_ID],tblAccounts[Include],FALSE),FALSE),SUMIFS(tblAcctSummary[Taxes_Base],tblAcctSummary[Account_ID],A72),0))</f>
        <v/>
      </c>
      <c r="N72" s="5">
        <f>IF(A72="","",IF(IFERROR(XLOOKUP(A72,tblAccounts[Account_ID],tblAccounts[Include],FALSE),FALSE),IFERROR(SUMPRODUCT(tblAcctSummary[Return_Period],tblAcctSummary[Begin_Balance_Base],--(tblAcctSummary[Account_ID]=A72))/IF(SUMIFS(tblAcctSummary[Begin_Balance_Base],tblAcctSummary[Account_ID],A72)=0,NA(),SUMIFS(tblAcctSummary[Begin_Balance_Base],tblAcctSummary[Account_ID],A72)),0),0))</f>
        <v/>
      </c>
    </row>
    <row r="73">
      <c r="A73" s="5">
        <f>IFERROR(INDEX(tblAccounts[Account_ID],70),"")</f>
        <v/>
      </c>
      <c r="B73" s="5">
        <f>IF(A73="","",IFERROR(XLOOKUP(A73,tblAccounts[Account_ID],tblAccounts[Account_Name],""),""))</f>
        <v/>
      </c>
      <c r="C73" s="5">
        <f>IF(A73="","",IFERROR(XLOOKUP(A73,tblAccounts[Account_ID],tblAccounts[Household_ID],""),""))</f>
        <v/>
      </c>
      <c r="D73" s="5">
        <f>IF(A73="","",IF(IFERROR(XLOOKUP(A73,tblAccounts[Account_ID],tblAccounts[Include],FALSE),FALSE),SUMIFS(tblAcctSummary[Begin_Balance_Base],tblAcctSummary[Account_ID],A73),0))</f>
        <v/>
      </c>
      <c r="E73" s="5">
        <f>IF(A73="","",IF(IFERROR(XLOOKUP(A73,tblAccounts[Account_ID],tblAccounts[Include],FALSE),FALSE),SUMIFS(tblAcctSummary[End_Balance_Base],tblAcctSummary[Account_ID],A73),0))</f>
        <v/>
      </c>
      <c r="F73" s="5">
        <f>IF(A73="","",IF(IFERROR(XLOOKUP(A73,tblAccounts[Account_ID],tblAccounts[Include],FALSE),FALSE),SUMIFS(tblAcctSummary[Net_Contrib_Base],tblAcctSummary[Account_ID],A73),0))</f>
        <v/>
      </c>
      <c r="G73" s="5">
        <f>IF(A73="","",IF(IFERROR(XLOOKUP(A73,tblAccounts[Account_ID],tblAccounts[Include],FALSE),FALSE),SUMIFS(tblAcctSummary[Income_Interest_Base],tblAcctSummary[Account_ID],A73),0))</f>
        <v/>
      </c>
      <c r="H73" s="5">
        <f>IF(A73="","",IF(IFERROR(XLOOKUP(A73,tblAccounts[Account_ID],tblAccounts[Include],FALSE),FALSE),SUMIFS(tblAcctSummary[Income_Dividends_Base],tblAcctSummary[Account_ID],A73),0))</f>
        <v/>
      </c>
      <c r="I73" s="5">
        <f>IF(A73="","",IF(IFERROR(XLOOKUP(A73,tblAccounts[Account_ID],tblAccounts[Include],FALSE),FALSE),SUMIFS(tblAcctSummary[Income_Other_Base],tblAcctSummary[Account_ID],A73),0))</f>
        <v/>
      </c>
      <c r="J73" s="5">
        <f>IF(A73="","",SUM(G73:I73))</f>
        <v/>
      </c>
      <c r="K73" s="5">
        <f>IF(A73="","",IF(IFERROR(XLOOKUP(A73,tblAccounts[Account_ID],tblAccounts[Include],FALSE),FALSE),SUMIFS(tblAcctSummary[Realized_GL_Base],tblAcctSummary[Account_ID],A73),0))</f>
        <v/>
      </c>
      <c r="L73" s="5">
        <f>IF(A73="","",IF(IFERROR(XLOOKUP(A73,tblAccounts[Account_ID],tblAccounts[Include],FALSE),FALSE),SUMIFS(tblAcctSummary[Fees_Base],tblAcctSummary[Account_ID],A73),0))</f>
        <v/>
      </c>
      <c r="M73" s="5">
        <f>IF(A73="","",IF(IFERROR(XLOOKUP(A73,tblAccounts[Account_ID],tblAccounts[Include],FALSE),FALSE),SUMIFS(tblAcctSummary[Taxes_Base],tblAcctSummary[Account_ID],A73),0))</f>
        <v/>
      </c>
      <c r="N73" s="5">
        <f>IF(A73="","",IF(IFERROR(XLOOKUP(A73,tblAccounts[Account_ID],tblAccounts[Include],FALSE),FALSE),IFERROR(SUMPRODUCT(tblAcctSummary[Return_Period],tblAcctSummary[Begin_Balance_Base],--(tblAcctSummary[Account_ID]=A73))/IF(SUMIFS(tblAcctSummary[Begin_Balance_Base],tblAcctSummary[Account_ID],A73)=0,NA(),SUMIFS(tblAcctSummary[Begin_Balance_Base],tblAcctSummary[Account_ID],A73)),0),0))</f>
        <v/>
      </c>
    </row>
    <row r="74">
      <c r="A74" s="5">
        <f>IFERROR(INDEX(tblAccounts[Account_ID],71),"")</f>
        <v/>
      </c>
      <c r="B74" s="5">
        <f>IF(A74="","",IFERROR(XLOOKUP(A74,tblAccounts[Account_ID],tblAccounts[Account_Name],""),""))</f>
        <v/>
      </c>
      <c r="C74" s="5">
        <f>IF(A74="","",IFERROR(XLOOKUP(A74,tblAccounts[Account_ID],tblAccounts[Household_ID],""),""))</f>
        <v/>
      </c>
      <c r="D74" s="5">
        <f>IF(A74="","",IF(IFERROR(XLOOKUP(A74,tblAccounts[Account_ID],tblAccounts[Include],FALSE),FALSE),SUMIFS(tblAcctSummary[Begin_Balance_Base],tblAcctSummary[Account_ID],A74),0))</f>
        <v/>
      </c>
      <c r="E74" s="5">
        <f>IF(A74="","",IF(IFERROR(XLOOKUP(A74,tblAccounts[Account_ID],tblAccounts[Include],FALSE),FALSE),SUMIFS(tblAcctSummary[End_Balance_Base],tblAcctSummary[Account_ID],A74),0))</f>
        <v/>
      </c>
      <c r="F74" s="5">
        <f>IF(A74="","",IF(IFERROR(XLOOKUP(A74,tblAccounts[Account_ID],tblAccounts[Include],FALSE),FALSE),SUMIFS(tblAcctSummary[Net_Contrib_Base],tblAcctSummary[Account_ID],A74),0))</f>
        <v/>
      </c>
      <c r="G74" s="5">
        <f>IF(A74="","",IF(IFERROR(XLOOKUP(A74,tblAccounts[Account_ID],tblAccounts[Include],FALSE),FALSE),SUMIFS(tblAcctSummary[Income_Interest_Base],tblAcctSummary[Account_ID],A74),0))</f>
        <v/>
      </c>
      <c r="H74" s="5">
        <f>IF(A74="","",IF(IFERROR(XLOOKUP(A74,tblAccounts[Account_ID],tblAccounts[Include],FALSE),FALSE),SUMIFS(tblAcctSummary[Income_Dividends_Base],tblAcctSummary[Account_ID],A74),0))</f>
        <v/>
      </c>
      <c r="I74" s="5">
        <f>IF(A74="","",IF(IFERROR(XLOOKUP(A74,tblAccounts[Account_ID],tblAccounts[Include],FALSE),FALSE),SUMIFS(tblAcctSummary[Income_Other_Base],tblAcctSummary[Account_ID],A74),0))</f>
        <v/>
      </c>
      <c r="J74" s="5">
        <f>IF(A74="","",SUM(G74:I74))</f>
        <v/>
      </c>
      <c r="K74" s="5">
        <f>IF(A74="","",IF(IFERROR(XLOOKUP(A74,tblAccounts[Account_ID],tblAccounts[Include],FALSE),FALSE),SUMIFS(tblAcctSummary[Realized_GL_Base],tblAcctSummary[Account_ID],A74),0))</f>
        <v/>
      </c>
      <c r="L74" s="5">
        <f>IF(A74="","",IF(IFERROR(XLOOKUP(A74,tblAccounts[Account_ID],tblAccounts[Include],FALSE),FALSE),SUMIFS(tblAcctSummary[Fees_Base],tblAcctSummary[Account_ID],A74),0))</f>
        <v/>
      </c>
      <c r="M74" s="5">
        <f>IF(A74="","",IF(IFERROR(XLOOKUP(A74,tblAccounts[Account_ID],tblAccounts[Include],FALSE),FALSE),SUMIFS(tblAcctSummary[Taxes_Base],tblAcctSummary[Account_ID],A74),0))</f>
        <v/>
      </c>
      <c r="N74" s="5">
        <f>IF(A74="","",IF(IFERROR(XLOOKUP(A74,tblAccounts[Account_ID],tblAccounts[Include],FALSE),FALSE),IFERROR(SUMPRODUCT(tblAcctSummary[Return_Period],tblAcctSummary[Begin_Balance_Base],--(tblAcctSummary[Account_ID]=A74))/IF(SUMIFS(tblAcctSummary[Begin_Balance_Base],tblAcctSummary[Account_ID],A74)=0,NA(),SUMIFS(tblAcctSummary[Begin_Balance_Base],tblAcctSummary[Account_ID],A74)),0),0))</f>
        <v/>
      </c>
    </row>
    <row r="75">
      <c r="A75" s="5">
        <f>IFERROR(INDEX(tblAccounts[Account_ID],72),"")</f>
        <v/>
      </c>
      <c r="B75" s="5">
        <f>IF(A75="","",IFERROR(XLOOKUP(A75,tblAccounts[Account_ID],tblAccounts[Account_Name],""),""))</f>
        <v/>
      </c>
      <c r="C75" s="5">
        <f>IF(A75="","",IFERROR(XLOOKUP(A75,tblAccounts[Account_ID],tblAccounts[Household_ID],""),""))</f>
        <v/>
      </c>
      <c r="D75" s="5">
        <f>IF(A75="","",IF(IFERROR(XLOOKUP(A75,tblAccounts[Account_ID],tblAccounts[Include],FALSE),FALSE),SUMIFS(tblAcctSummary[Begin_Balance_Base],tblAcctSummary[Account_ID],A75),0))</f>
        <v/>
      </c>
      <c r="E75" s="5">
        <f>IF(A75="","",IF(IFERROR(XLOOKUP(A75,tblAccounts[Account_ID],tblAccounts[Include],FALSE),FALSE),SUMIFS(tblAcctSummary[End_Balance_Base],tblAcctSummary[Account_ID],A75),0))</f>
        <v/>
      </c>
      <c r="F75" s="5">
        <f>IF(A75="","",IF(IFERROR(XLOOKUP(A75,tblAccounts[Account_ID],tblAccounts[Include],FALSE),FALSE),SUMIFS(tblAcctSummary[Net_Contrib_Base],tblAcctSummary[Account_ID],A75),0))</f>
        <v/>
      </c>
      <c r="G75" s="5">
        <f>IF(A75="","",IF(IFERROR(XLOOKUP(A75,tblAccounts[Account_ID],tblAccounts[Include],FALSE),FALSE),SUMIFS(tblAcctSummary[Income_Interest_Base],tblAcctSummary[Account_ID],A75),0))</f>
        <v/>
      </c>
      <c r="H75" s="5">
        <f>IF(A75="","",IF(IFERROR(XLOOKUP(A75,tblAccounts[Account_ID],tblAccounts[Include],FALSE),FALSE),SUMIFS(tblAcctSummary[Income_Dividends_Base],tblAcctSummary[Account_ID],A75),0))</f>
        <v/>
      </c>
      <c r="I75" s="5">
        <f>IF(A75="","",IF(IFERROR(XLOOKUP(A75,tblAccounts[Account_ID],tblAccounts[Include],FALSE),FALSE),SUMIFS(tblAcctSummary[Income_Other_Base],tblAcctSummary[Account_ID],A75),0))</f>
        <v/>
      </c>
      <c r="J75" s="5">
        <f>IF(A75="","",SUM(G75:I75))</f>
        <v/>
      </c>
      <c r="K75" s="5">
        <f>IF(A75="","",IF(IFERROR(XLOOKUP(A75,tblAccounts[Account_ID],tblAccounts[Include],FALSE),FALSE),SUMIFS(tblAcctSummary[Realized_GL_Base],tblAcctSummary[Account_ID],A75),0))</f>
        <v/>
      </c>
      <c r="L75" s="5">
        <f>IF(A75="","",IF(IFERROR(XLOOKUP(A75,tblAccounts[Account_ID],tblAccounts[Include],FALSE),FALSE),SUMIFS(tblAcctSummary[Fees_Base],tblAcctSummary[Account_ID],A75),0))</f>
        <v/>
      </c>
      <c r="M75" s="5">
        <f>IF(A75="","",IF(IFERROR(XLOOKUP(A75,tblAccounts[Account_ID],tblAccounts[Include],FALSE),FALSE),SUMIFS(tblAcctSummary[Taxes_Base],tblAcctSummary[Account_ID],A75),0))</f>
        <v/>
      </c>
      <c r="N75" s="5">
        <f>IF(A75="","",IF(IFERROR(XLOOKUP(A75,tblAccounts[Account_ID],tblAccounts[Include],FALSE),FALSE),IFERROR(SUMPRODUCT(tblAcctSummary[Return_Period],tblAcctSummary[Begin_Balance_Base],--(tblAcctSummary[Account_ID]=A75))/IF(SUMIFS(tblAcctSummary[Begin_Balance_Base],tblAcctSummary[Account_ID],A75)=0,NA(),SUMIFS(tblAcctSummary[Begin_Balance_Base],tblAcctSummary[Account_ID],A75)),0),0))</f>
        <v/>
      </c>
    </row>
    <row r="76">
      <c r="A76" s="5">
        <f>IFERROR(INDEX(tblAccounts[Account_ID],73),"")</f>
        <v/>
      </c>
      <c r="B76" s="5">
        <f>IF(A76="","",IFERROR(XLOOKUP(A76,tblAccounts[Account_ID],tblAccounts[Account_Name],""),""))</f>
        <v/>
      </c>
      <c r="C76" s="5">
        <f>IF(A76="","",IFERROR(XLOOKUP(A76,tblAccounts[Account_ID],tblAccounts[Household_ID],""),""))</f>
        <v/>
      </c>
      <c r="D76" s="5">
        <f>IF(A76="","",IF(IFERROR(XLOOKUP(A76,tblAccounts[Account_ID],tblAccounts[Include],FALSE),FALSE),SUMIFS(tblAcctSummary[Begin_Balance_Base],tblAcctSummary[Account_ID],A76),0))</f>
        <v/>
      </c>
      <c r="E76" s="5">
        <f>IF(A76="","",IF(IFERROR(XLOOKUP(A76,tblAccounts[Account_ID],tblAccounts[Include],FALSE),FALSE),SUMIFS(tblAcctSummary[End_Balance_Base],tblAcctSummary[Account_ID],A76),0))</f>
        <v/>
      </c>
      <c r="F76" s="5">
        <f>IF(A76="","",IF(IFERROR(XLOOKUP(A76,tblAccounts[Account_ID],tblAccounts[Include],FALSE),FALSE),SUMIFS(tblAcctSummary[Net_Contrib_Base],tblAcctSummary[Account_ID],A76),0))</f>
        <v/>
      </c>
      <c r="G76" s="5">
        <f>IF(A76="","",IF(IFERROR(XLOOKUP(A76,tblAccounts[Account_ID],tblAccounts[Include],FALSE),FALSE),SUMIFS(tblAcctSummary[Income_Interest_Base],tblAcctSummary[Account_ID],A76),0))</f>
        <v/>
      </c>
      <c r="H76" s="5">
        <f>IF(A76="","",IF(IFERROR(XLOOKUP(A76,tblAccounts[Account_ID],tblAccounts[Include],FALSE),FALSE),SUMIFS(tblAcctSummary[Income_Dividends_Base],tblAcctSummary[Account_ID],A76),0))</f>
        <v/>
      </c>
      <c r="I76" s="5">
        <f>IF(A76="","",IF(IFERROR(XLOOKUP(A76,tblAccounts[Account_ID],tblAccounts[Include],FALSE),FALSE),SUMIFS(tblAcctSummary[Income_Other_Base],tblAcctSummary[Account_ID],A76),0))</f>
        <v/>
      </c>
      <c r="J76" s="5">
        <f>IF(A76="","",SUM(G76:I76))</f>
        <v/>
      </c>
      <c r="K76" s="5">
        <f>IF(A76="","",IF(IFERROR(XLOOKUP(A76,tblAccounts[Account_ID],tblAccounts[Include],FALSE),FALSE),SUMIFS(tblAcctSummary[Realized_GL_Base],tblAcctSummary[Account_ID],A76),0))</f>
        <v/>
      </c>
      <c r="L76" s="5">
        <f>IF(A76="","",IF(IFERROR(XLOOKUP(A76,tblAccounts[Account_ID],tblAccounts[Include],FALSE),FALSE),SUMIFS(tblAcctSummary[Fees_Base],tblAcctSummary[Account_ID],A76),0))</f>
        <v/>
      </c>
      <c r="M76" s="5">
        <f>IF(A76="","",IF(IFERROR(XLOOKUP(A76,tblAccounts[Account_ID],tblAccounts[Include],FALSE),FALSE),SUMIFS(tblAcctSummary[Taxes_Base],tblAcctSummary[Account_ID],A76),0))</f>
        <v/>
      </c>
      <c r="N76" s="5">
        <f>IF(A76="","",IF(IFERROR(XLOOKUP(A76,tblAccounts[Account_ID],tblAccounts[Include],FALSE),FALSE),IFERROR(SUMPRODUCT(tblAcctSummary[Return_Period],tblAcctSummary[Begin_Balance_Base],--(tblAcctSummary[Account_ID]=A76))/IF(SUMIFS(tblAcctSummary[Begin_Balance_Base],tblAcctSummary[Account_ID],A76)=0,NA(),SUMIFS(tblAcctSummary[Begin_Balance_Base],tblAcctSummary[Account_ID],A76)),0),0))</f>
        <v/>
      </c>
    </row>
    <row r="77">
      <c r="A77" s="5">
        <f>IFERROR(INDEX(tblAccounts[Account_ID],74),"")</f>
        <v/>
      </c>
      <c r="B77" s="5">
        <f>IF(A77="","",IFERROR(XLOOKUP(A77,tblAccounts[Account_ID],tblAccounts[Account_Name],""),""))</f>
        <v/>
      </c>
      <c r="C77" s="5">
        <f>IF(A77="","",IFERROR(XLOOKUP(A77,tblAccounts[Account_ID],tblAccounts[Household_ID],""),""))</f>
        <v/>
      </c>
      <c r="D77" s="5">
        <f>IF(A77="","",IF(IFERROR(XLOOKUP(A77,tblAccounts[Account_ID],tblAccounts[Include],FALSE),FALSE),SUMIFS(tblAcctSummary[Begin_Balance_Base],tblAcctSummary[Account_ID],A77),0))</f>
        <v/>
      </c>
      <c r="E77" s="5">
        <f>IF(A77="","",IF(IFERROR(XLOOKUP(A77,tblAccounts[Account_ID],tblAccounts[Include],FALSE),FALSE),SUMIFS(tblAcctSummary[End_Balance_Base],tblAcctSummary[Account_ID],A77),0))</f>
        <v/>
      </c>
      <c r="F77" s="5">
        <f>IF(A77="","",IF(IFERROR(XLOOKUP(A77,tblAccounts[Account_ID],tblAccounts[Include],FALSE),FALSE),SUMIFS(tblAcctSummary[Net_Contrib_Base],tblAcctSummary[Account_ID],A77),0))</f>
        <v/>
      </c>
      <c r="G77" s="5">
        <f>IF(A77="","",IF(IFERROR(XLOOKUP(A77,tblAccounts[Account_ID],tblAccounts[Include],FALSE),FALSE),SUMIFS(tblAcctSummary[Income_Interest_Base],tblAcctSummary[Account_ID],A77),0))</f>
        <v/>
      </c>
      <c r="H77" s="5">
        <f>IF(A77="","",IF(IFERROR(XLOOKUP(A77,tblAccounts[Account_ID],tblAccounts[Include],FALSE),FALSE),SUMIFS(tblAcctSummary[Income_Dividends_Base],tblAcctSummary[Account_ID],A77),0))</f>
        <v/>
      </c>
      <c r="I77" s="5">
        <f>IF(A77="","",IF(IFERROR(XLOOKUP(A77,tblAccounts[Account_ID],tblAccounts[Include],FALSE),FALSE),SUMIFS(tblAcctSummary[Income_Other_Base],tblAcctSummary[Account_ID],A77),0))</f>
        <v/>
      </c>
      <c r="J77" s="5">
        <f>IF(A77="","",SUM(G77:I77))</f>
        <v/>
      </c>
      <c r="K77" s="5">
        <f>IF(A77="","",IF(IFERROR(XLOOKUP(A77,tblAccounts[Account_ID],tblAccounts[Include],FALSE),FALSE),SUMIFS(tblAcctSummary[Realized_GL_Base],tblAcctSummary[Account_ID],A77),0))</f>
        <v/>
      </c>
      <c r="L77" s="5">
        <f>IF(A77="","",IF(IFERROR(XLOOKUP(A77,tblAccounts[Account_ID],tblAccounts[Include],FALSE),FALSE),SUMIFS(tblAcctSummary[Fees_Base],tblAcctSummary[Account_ID],A77),0))</f>
        <v/>
      </c>
      <c r="M77" s="5">
        <f>IF(A77="","",IF(IFERROR(XLOOKUP(A77,tblAccounts[Account_ID],tblAccounts[Include],FALSE),FALSE),SUMIFS(tblAcctSummary[Taxes_Base],tblAcctSummary[Account_ID],A77),0))</f>
        <v/>
      </c>
      <c r="N77" s="5">
        <f>IF(A77="","",IF(IFERROR(XLOOKUP(A77,tblAccounts[Account_ID],tblAccounts[Include],FALSE),FALSE),IFERROR(SUMPRODUCT(tblAcctSummary[Return_Period],tblAcctSummary[Begin_Balance_Base],--(tblAcctSummary[Account_ID]=A77))/IF(SUMIFS(tblAcctSummary[Begin_Balance_Base],tblAcctSummary[Account_ID],A77)=0,NA(),SUMIFS(tblAcctSummary[Begin_Balance_Base],tblAcctSummary[Account_ID],A77)),0),0))</f>
        <v/>
      </c>
    </row>
    <row r="78">
      <c r="A78" s="5">
        <f>IFERROR(INDEX(tblAccounts[Account_ID],75),"")</f>
        <v/>
      </c>
      <c r="B78" s="5">
        <f>IF(A78="","",IFERROR(XLOOKUP(A78,tblAccounts[Account_ID],tblAccounts[Account_Name],""),""))</f>
        <v/>
      </c>
      <c r="C78" s="5">
        <f>IF(A78="","",IFERROR(XLOOKUP(A78,tblAccounts[Account_ID],tblAccounts[Household_ID],""),""))</f>
        <v/>
      </c>
      <c r="D78" s="5">
        <f>IF(A78="","",IF(IFERROR(XLOOKUP(A78,tblAccounts[Account_ID],tblAccounts[Include],FALSE),FALSE),SUMIFS(tblAcctSummary[Begin_Balance_Base],tblAcctSummary[Account_ID],A78),0))</f>
        <v/>
      </c>
      <c r="E78" s="5">
        <f>IF(A78="","",IF(IFERROR(XLOOKUP(A78,tblAccounts[Account_ID],tblAccounts[Include],FALSE),FALSE),SUMIFS(tblAcctSummary[End_Balance_Base],tblAcctSummary[Account_ID],A78),0))</f>
        <v/>
      </c>
      <c r="F78" s="5">
        <f>IF(A78="","",IF(IFERROR(XLOOKUP(A78,tblAccounts[Account_ID],tblAccounts[Include],FALSE),FALSE),SUMIFS(tblAcctSummary[Net_Contrib_Base],tblAcctSummary[Account_ID],A78),0))</f>
        <v/>
      </c>
      <c r="G78" s="5">
        <f>IF(A78="","",IF(IFERROR(XLOOKUP(A78,tblAccounts[Account_ID],tblAccounts[Include],FALSE),FALSE),SUMIFS(tblAcctSummary[Income_Interest_Base],tblAcctSummary[Account_ID],A78),0))</f>
        <v/>
      </c>
      <c r="H78" s="5">
        <f>IF(A78="","",IF(IFERROR(XLOOKUP(A78,tblAccounts[Account_ID],tblAccounts[Include],FALSE),FALSE),SUMIFS(tblAcctSummary[Income_Dividends_Base],tblAcctSummary[Account_ID],A78),0))</f>
        <v/>
      </c>
      <c r="I78" s="5">
        <f>IF(A78="","",IF(IFERROR(XLOOKUP(A78,tblAccounts[Account_ID],tblAccounts[Include],FALSE),FALSE),SUMIFS(tblAcctSummary[Income_Other_Base],tblAcctSummary[Account_ID],A78),0))</f>
        <v/>
      </c>
      <c r="J78" s="5">
        <f>IF(A78="","",SUM(G78:I78))</f>
        <v/>
      </c>
      <c r="K78" s="5">
        <f>IF(A78="","",IF(IFERROR(XLOOKUP(A78,tblAccounts[Account_ID],tblAccounts[Include],FALSE),FALSE),SUMIFS(tblAcctSummary[Realized_GL_Base],tblAcctSummary[Account_ID],A78),0))</f>
        <v/>
      </c>
      <c r="L78" s="5">
        <f>IF(A78="","",IF(IFERROR(XLOOKUP(A78,tblAccounts[Account_ID],tblAccounts[Include],FALSE),FALSE),SUMIFS(tblAcctSummary[Fees_Base],tblAcctSummary[Account_ID],A78),0))</f>
        <v/>
      </c>
      <c r="M78" s="5">
        <f>IF(A78="","",IF(IFERROR(XLOOKUP(A78,tblAccounts[Account_ID],tblAccounts[Include],FALSE),FALSE),SUMIFS(tblAcctSummary[Taxes_Base],tblAcctSummary[Account_ID],A78),0))</f>
        <v/>
      </c>
      <c r="N78" s="5">
        <f>IF(A78="","",IF(IFERROR(XLOOKUP(A78,tblAccounts[Account_ID],tblAccounts[Include],FALSE),FALSE),IFERROR(SUMPRODUCT(tblAcctSummary[Return_Period],tblAcctSummary[Begin_Balance_Base],--(tblAcctSummary[Account_ID]=A78))/IF(SUMIFS(tblAcctSummary[Begin_Balance_Base],tblAcctSummary[Account_ID],A78)=0,NA(),SUMIFS(tblAcctSummary[Begin_Balance_Base],tblAcctSummary[Account_ID],A78)),0),0))</f>
        <v/>
      </c>
    </row>
    <row r="79">
      <c r="A79" s="5">
        <f>IFERROR(INDEX(tblAccounts[Account_ID],76),"")</f>
        <v/>
      </c>
      <c r="B79" s="5">
        <f>IF(A79="","",IFERROR(XLOOKUP(A79,tblAccounts[Account_ID],tblAccounts[Account_Name],""),""))</f>
        <v/>
      </c>
      <c r="C79" s="5">
        <f>IF(A79="","",IFERROR(XLOOKUP(A79,tblAccounts[Account_ID],tblAccounts[Household_ID],""),""))</f>
        <v/>
      </c>
      <c r="D79" s="5">
        <f>IF(A79="","",IF(IFERROR(XLOOKUP(A79,tblAccounts[Account_ID],tblAccounts[Include],FALSE),FALSE),SUMIFS(tblAcctSummary[Begin_Balance_Base],tblAcctSummary[Account_ID],A79),0))</f>
        <v/>
      </c>
      <c r="E79" s="5">
        <f>IF(A79="","",IF(IFERROR(XLOOKUP(A79,tblAccounts[Account_ID],tblAccounts[Include],FALSE),FALSE),SUMIFS(tblAcctSummary[End_Balance_Base],tblAcctSummary[Account_ID],A79),0))</f>
        <v/>
      </c>
      <c r="F79" s="5">
        <f>IF(A79="","",IF(IFERROR(XLOOKUP(A79,tblAccounts[Account_ID],tblAccounts[Include],FALSE),FALSE),SUMIFS(tblAcctSummary[Net_Contrib_Base],tblAcctSummary[Account_ID],A79),0))</f>
        <v/>
      </c>
      <c r="G79" s="5">
        <f>IF(A79="","",IF(IFERROR(XLOOKUP(A79,tblAccounts[Account_ID],tblAccounts[Include],FALSE),FALSE),SUMIFS(tblAcctSummary[Income_Interest_Base],tblAcctSummary[Account_ID],A79),0))</f>
        <v/>
      </c>
      <c r="H79" s="5">
        <f>IF(A79="","",IF(IFERROR(XLOOKUP(A79,tblAccounts[Account_ID],tblAccounts[Include],FALSE),FALSE),SUMIFS(tblAcctSummary[Income_Dividends_Base],tblAcctSummary[Account_ID],A79),0))</f>
        <v/>
      </c>
      <c r="I79" s="5">
        <f>IF(A79="","",IF(IFERROR(XLOOKUP(A79,tblAccounts[Account_ID],tblAccounts[Include],FALSE),FALSE),SUMIFS(tblAcctSummary[Income_Other_Base],tblAcctSummary[Account_ID],A79),0))</f>
        <v/>
      </c>
      <c r="J79" s="5">
        <f>IF(A79="","",SUM(G79:I79))</f>
        <v/>
      </c>
      <c r="K79" s="5">
        <f>IF(A79="","",IF(IFERROR(XLOOKUP(A79,tblAccounts[Account_ID],tblAccounts[Include],FALSE),FALSE),SUMIFS(tblAcctSummary[Realized_GL_Base],tblAcctSummary[Account_ID],A79),0))</f>
        <v/>
      </c>
      <c r="L79" s="5">
        <f>IF(A79="","",IF(IFERROR(XLOOKUP(A79,tblAccounts[Account_ID],tblAccounts[Include],FALSE),FALSE),SUMIFS(tblAcctSummary[Fees_Base],tblAcctSummary[Account_ID],A79),0))</f>
        <v/>
      </c>
      <c r="M79" s="5">
        <f>IF(A79="","",IF(IFERROR(XLOOKUP(A79,tblAccounts[Account_ID],tblAccounts[Include],FALSE),FALSE),SUMIFS(tblAcctSummary[Taxes_Base],tblAcctSummary[Account_ID],A79),0))</f>
        <v/>
      </c>
      <c r="N79" s="5">
        <f>IF(A79="","",IF(IFERROR(XLOOKUP(A79,tblAccounts[Account_ID],tblAccounts[Include],FALSE),FALSE),IFERROR(SUMPRODUCT(tblAcctSummary[Return_Period],tblAcctSummary[Begin_Balance_Base],--(tblAcctSummary[Account_ID]=A79))/IF(SUMIFS(tblAcctSummary[Begin_Balance_Base],tblAcctSummary[Account_ID],A79)=0,NA(),SUMIFS(tblAcctSummary[Begin_Balance_Base],tblAcctSummary[Account_ID],A79)),0),0))</f>
        <v/>
      </c>
    </row>
    <row r="80">
      <c r="A80" s="5">
        <f>IFERROR(INDEX(tblAccounts[Account_ID],77),"")</f>
        <v/>
      </c>
      <c r="B80" s="5">
        <f>IF(A80="","",IFERROR(XLOOKUP(A80,tblAccounts[Account_ID],tblAccounts[Account_Name],""),""))</f>
        <v/>
      </c>
      <c r="C80" s="5">
        <f>IF(A80="","",IFERROR(XLOOKUP(A80,tblAccounts[Account_ID],tblAccounts[Household_ID],""),""))</f>
        <v/>
      </c>
      <c r="D80" s="5">
        <f>IF(A80="","",IF(IFERROR(XLOOKUP(A80,tblAccounts[Account_ID],tblAccounts[Include],FALSE),FALSE),SUMIFS(tblAcctSummary[Begin_Balance_Base],tblAcctSummary[Account_ID],A80),0))</f>
        <v/>
      </c>
      <c r="E80" s="5">
        <f>IF(A80="","",IF(IFERROR(XLOOKUP(A80,tblAccounts[Account_ID],tblAccounts[Include],FALSE),FALSE),SUMIFS(tblAcctSummary[End_Balance_Base],tblAcctSummary[Account_ID],A80),0))</f>
        <v/>
      </c>
      <c r="F80" s="5">
        <f>IF(A80="","",IF(IFERROR(XLOOKUP(A80,tblAccounts[Account_ID],tblAccounts[Include],FALSE),FALSE),SUMIFS(tblAcctSummary[Net_Contrib_Base],tblAcctSummary[Account_ID],A80),0))</f>
        <v/>
      </c>
      <c r="G80" s="5">
        <f>IF(A80="","",IF(IFERROR(XLOOKUP(A80,tblAccounts[Account_ID],tblAccounts[Include],FALSE),FALSE),SUMIFS(tblAcctSummary[Income_Interest_Base],tblAcctSummary[Account_ID],A80),0))</f>
        <v/>
      </c>
      <c r="H80" s="5">
        <f>IF(A80="","",IF(IFERROR(XLOOKUP(A80,tblAccounts[Account_ID],tblAccounts[Include],FALSE),FALSE),SUMIFS(tblAcctSummary[Income_Dividends_Base],tblAcctSummary[Account_ID],A80),0))</f>
        <v/>
      </c>
      <c r="I80" s="5">
        <f>IF(A80="","",IF(IFERROR(XLOOKUP(A80,tblAccounts[Account_ID],tblAccounts[Include],FALSE),FALSE),SUMIFS(tblAcctSummary[Income_Other_Base],tblAcctSummary[Account_ID],A80),0))</f>
        <v/>
      </c>
      <c r="J80" s="5">
        <f>IF(A80="","",SUM(G80:I80))</f>
        <v/>
      </c>
      <c r="K80" s="5">
        <f>IF(A80="","",IF(IFERROR(XLOOKUP(A80,tblAccounts[Account_ID],tblAccounts[Include],FALSE),FALSE),SUMIFS(tblAcctSummary[Realized_GL_Base],tblAcctSummary[Account_ID],A80),0))</f>
        <v/>
      </c>
      <c r="L80" s="5">
        <f>IF(A80="","",IF(IFERROR(XLOOKUP(A80,tblAccounts[Account_ID],tblAccounts[Include],FALSE),FALSE),SUMIFS(tblAcctSummary[Fees_Base],tblAcctSummary[Account_ID],A80),0))</f>
        <v/>
      </c>
      <c r="M80" s="5">
        <f>IF(A80="","",IF(IFERROR(XLOOKUP(A80,tblAccounts[Account_ID],tblAccounts[Include],FALSE),FALSE),SUMIFS(tblAcctSummary[Taxes_Base],tblAcctSummary[Account_ID],A80),0))</f>
        <v/>
      </c>
      <c r="N80" s="5">
        <f>IF(A80="","",IF(IFERROR(XLOOKUP(A80,tblAccounts[Account_ID],tblAccounts[Include],FALSE),FALSE),IFERROR(SUMPRODUCT(tblAcctSummary[Return_Period],tblAcctSummary[Begin_Balance_Base],--(tblAcctSummary[Account_ID]=A80))/IF(SUMIFS(tblAcctSummary[Begin_Balance_Base],tblAcctSummary[Account_ID],A80)=0,NA(),SUMIFS(tblAcctSummary[Begin_Balance_Base],tblAcctSummary[Account_ID],A80)),0),0))</f>
        <v/>
      </c>
    </row>
    <row r="81">
      <c r="A81" s="5">
        <f>IFERROR(INDEX(tblAccounts[Account_ID],78),"")</f>
        <v/>
      </c>
      <c r="B81" s="5">
        <f>IF(A81="","",IFERROR(XLOOKUP(A81,tblAccounts[Account_ID],tblAccounts[Account_Name],""),""))</f>
        <v/>
      </c>
      <c r="C81" s="5">
        <f>IF(A81="","",IFERROR(XLOOKUP(A81,tblAccounts[Account_ID],tblAccounts[Household_ID],""),""))</f>
        <v/>
      </c>
      <c r="D81" s="5">
        <f>IF(A81="","",IF(IFERROR(XLOOKUP(A81,tblAccounts[Account_ID],tblAccounts[Include],FALSE),FALSE),SUMIFS(tblAcctSummary[Begin_Balance_Base],tblAcctSummary[Account_ID],A81),0))</f>
        <v/>
      </c>
      <c r="E81" s="5">
        <f>IF(A81="","",IF(IFERROR(XLOOKUP(A81,tblAccounts[Account_ID],tblAccounts[Include],FALSE),FALSE),SUMIFS(tblAcctSummary[End_Balance_Base],tblAcctSummary[Account_ID],A81),0))</f>
        <v/>
      </c>
      <c r="F81" s="5">
        <f>IF(A81="","",IF(IFERROR(XLOOKUP(A81,tblAccounts[Account_ID],tblAccounts[Include],FALSE),FALSE),SUMIFS(tblAcctSummary[Net_Contrib_Base],tblAcctSummary[Account_ID],A81),0))</f>
        <v/>
      </c>
      <c r="G81" s="5">
        <f>IF(A81="","",IF(IFERROR(XLOOKUP(A81,tblAccounts[Account_ID],tblAccounts[Include],FALSE),FALSE),SUMIFS(tblAcctSummary[Income_Interest_Base],tblAcctSummary[Account_ID],A81),0))</f>
        <v/>
      </c>
      <c r="H81" s="5">
        <f>IF(A81="","",IF(IFERROR(XLOOKUP(A81,tblAccounts[Account_ID],tblAccounts[Include],FALSE),FALSE),SUMIFS(tblAcctSummary[Income_Dividends_Base],tblAcctSummary[Account_ID],A81),0))</f>
        <v/>
      </c>
      <c r="I81" s="5">
        <f>IF(A81="","",IF(IFERROR(XLOOKUP(A81,tblAccounts[Account_ID],tblAccounts[Include],FALSE),FALSE),SUMIFS(tblAcctSummary[Income_Other_Base],tblAcctSummary[Account_ID],A81),0))</f>
        <v/>
      </c>
      <c r="J81" s="5">
        <f>IF(A81="","",SUM(G81:I81))</f>
        <v/>
      </c>
      <c r="K81" s="5">
        <f>IF(A81="","",IF(IFERROR(XLOOKUP(A81,tblAccounts[Account_ID],tblAccounts[Include],FALSE),FALSE),SUMIFS(tblAcctSummary[Realized_GL_Base],tblAcctSummary[Account_ID],A81),0))</f>
        <v/>
      </c>
      <c r="L81" s="5">
        <f>IF(A81="","",IF(IFERROR(XLOOKUP(A81,tblAccounts[Account_ID],tblAccounts[Include],FALSE),FALSE),SUMIFS(tblAcctSummary[Fees_Base],tblAcctSummary[Account_ID],A81),0))</f>
        <v/>
      </c>
      <c r="M81" s="5">
        <f>IF(A81="","",IF(IFERROR(XLOOKUP(A81,tblAccounts[Account_ID],tblAccounts[Include],FALSE),FALSE),SUMIFS(tblAcctSummary[Taxes_Base],tblAcctSummary[Account_ID],A81),0))</f>
        <v/>
      </c>
      <c r="N81" s="5">
        <f>IF(A81="","",IF(IFERROR(XLOOKUP(A81,tblAccounts[Account_ID],tblAccounts[Include],FALSE),FALSE),IFERROR(SUMPRODUCT(tblAcctSummary[Return_Period],tblAcctSummary[Begin_Balance_Base],--(tblAcctSummary[Account_ID]=A81))/IF(SUMIFS(tblAcctSummary[Begin_Balance_Base],tblAcctSummary[Account_ID],A81)=0,NA(),SUMIFS(tblAcctSummary[Begin_Balance_Base],tblAcctSummary[Account_ID],A81)),0),0))</f>
        <v/>
      </c>
    </row>
    <row r="82">
      <c r="A82" s="5">
        <f>IFERROR(INDEX(tblAccounts[Account_ID],79),"")</f>
        <v/>
      </c>
      <c r="B82" s="5">
        <f>IF(A82="","",IFERROR(XLOOKUP(A82,tblAccounts[Account_ID],tblAccounts[Account_Name],""),""))</f>
        <v/>
      </c>
      <c r="C82" s="5">
        <f>IF(A82="","",IFERROR(XLOOKUP(A82,tblAccounts[Account_ID],tblAccounts[Household_ID],""),""))</f>
        <v/>
      </c>
      <c r="D82" s="5">
        <f>IF(A82="","",IF(IFERROR(XLOOKUP(A82,tblAccounts[Account_ID],tblAccounts[Include],FALSE),FALSE),SUMIFS(tblAcctSummary[Begin_Balance_Base],tblAcctSummary[Account_ID],A82),0))</f>
        <v/>
      </c>
      <c r="E82" s="5">
        <f>IF(A82="","",IF(IFERROR(XLOOKUP(A82,tblAccounts[Account_ID],tblAccounts[Include],FALSE),FALSE),SUMIFS(tblAcctSummary[End_Balance_Base],tblAcctSummary[Account_ID],A82),0))</f>
        <v/>
      </c>
      <c r="F82" s="5">
        <f>IF(A82="","",IF(IFERROR(XLOOKUP(A82,tblAccounts[Account_ID],tblAccounts[Include],FALSE),FALSE),SUMIFS(tblAcctSummary[Net_Contrib_Base],tblAcctSummary[Account_ID],A82),0))</f>
        <v/>
      </c>
      <c r="G82" s="5">
        <f>IF(A82="","",IF(IFERROR(XLOOKUP(A82,tblAccounts[Account_ID],tblAccounts[Include],FALSE),FALSE),SUMIFS(tblAcctSummary[Income_Interest_Base],tblAcctSummary[Account_ID],A82),0))</f>
        <v/>
      </c>
      <c r="H82" s="5">
        <f>IF(A82="","",IF(IFERROR(XLOOKUP(A82,tblAccounts[Account_ID],tblAccounts[Include],FALSE),FALSE),SUMIFS(tblAcctSummary[Income_Dividends_Base],tblAcctSummary[Account_ID],A82),0))</f>
        <v/>
      </c>
      <c r="I82" s="5">
        <f>IF(A82="","",IF(IFERROR(XLOOKUP(A82,tblAccounts[Account_ID],tblAccounts[Include],FALSE),FALSE),SUMIFS(tblAcctSummary[Income_Other_Base],tblAcctSummary[Account_ID],A82),0))</f>
        <v/>
      </c>
      <c r="J82" s="5">
        <f>IF(A82="","",SUM(G82:I82))</f>
        <v/>
      </c>
      <c r="K82" s="5">
        <f>IF(A82="","",IF(IFERROR(XLOOKUP(A82,tblAccounts[Account_ID],tblAccounts[Include],FALSE),FALSE),SUMIFS(tblAcctSummary[Realized_GL_Base],tblAcctSummary[Account_ID],A82),0))</f>
        <v/>
      </c>
      <c r="L82" s="5">
        <f>IF(A82="","",IF(IFERROR(XLOOKUP(A82,tblAccounts[Account_ID],tblAccounts[Include],FALSE),FALSE),SUMIFS(tblAcctSummary[Fees_Base],tblAcctSummary[Account_ID],A82),0))</f>
        <v/>
      </c>
      <c r="M82" s="5">
        <f>IF(A82="","",IF(IFERROR(XLOOKUP(A82,tblAccounts[Account_ID],tblAccounts[Include],FALSE),FALSE),SUMIFS(tblAcctSummary[Taxes_Base],tblAcctSummary[Account_ID],A82),0))</f>
        <v/>
      </c>
      <c r="N82" s="5">
        <f>IF(A82="","",IF(IFERROR(XLOOKUP(A82,tblAccounts[Account_ID],tblAccounts[Include],FALSE),FALSE),IFERROR(SUMPRODUCT(tblAcctSummary[Return_Period],tblAcctSummary[Begin_Balance_Base],--(tblAcctSummary[Account_ID]=A82))/IF(SUMIFS(tblAcctSummary[Begin_Balance_Base],tblAcctSummary[Account_ID],A82)=0,NA(),SUMIFS(tblAcctSummary[Begin_Balance_Base],tblAcctSummary[Account_ID],A82)),0),0))</f>
        <v/>
      </c>
    </row>
    <row r="83">
      <c r="A83" s="5">
        <f>IFERROR(INDEX(tblAccounts[Account_ID],80),"")</f>
        <v/>
      </c>
      <c r="B83" s="5">
        <f>IF(A83="","",IFERROR(XLOOKUP(A83,tblAccounts[Account_ID],tblAccounts[Account_Name],""),""))</f>
        <v/>
      </c>
      <c r="C83" s="5">
        <f>IF(A83="","",IFERROR(XLOOKUP(A83,tblAccounts[Account_ID],tblAccounts[Household_ID],""),""))</f>
        <v/>
      </c>
      <c r="D83" s="5">
        <f>IF(A83="","",IF(IFERROR(XLOOKUP(A83,tblAccounts[Account_ID],tblAccounts[Include],FALSE),FALSE),SUMIFS(tblAcctSummary[Begin_Balance_Base],tblAcctSummary[Account_ID],A83),0))</f>
        <v/>
      </c>
      <c r="E83" s="5">
        <f>IF(A83="","",IF(IFERROR(XLOOKUP(A83,tblAccounts[Account_ID],tblAccounts[Include],FALSE),FALSE),SUMIFS(tblAcctSummary[End_Balance_Base],tblAcctSummary[Account_ID],A83),0))</f>
        <v/>
      </c>
      <c r="F83" s="5">
        <f>IF(A83="","",IF(IFERROR(XLOOKUP(A83,tblAccounts[Account_ID],tblAccounts[Include],FALSE),FALSE),SUMIFS(tblAcctSummary[Net_Contrib_Base],tblAcctSummary[Account_ID],A83),0))</f>
        <v/>
      </c>
      <c r="G83" s="5">
        <f>IF(A83="","",IF(IFERROR(XLOOKUP(A83,tblAccounts[Account_ID],tblAccounts[Include],FALSE),FALSE),SUMIFS(tblAcctSummary[Income_Interest_Base],tblAcctSummary[Account_ID],A83),0))</f>
        <v/>
      </c>
      <c r="H83" s="5">
        <f>IF(A83="","",IF(IFERROR(XLOOKUP(A83,tblAccounts[Account_ID],tblAccounts[Include],FALSE),FALSE),SUMIFS(tblAcctSummary[Income_Dividends_Base],tblAcctSummary[Account_ID],A83),0))</f>
        <v/>
      </c>
      <c r="I83" s="5">
        <f>IF(A83="","",IF(IFERROR(XLOOKUP(A83,tblAccounts[Account_ID],tblAccounts[Include],FALSE),FALSE),SUMIFS(tblAcctSummary[Income_Other_Base],tblAcctSummary[Account_ID],A83),0))</f>
        <v/>
      </c>
      <c r="J83" s="5">
        <f>IF(A83="","",SUM(G83:I83))</f>
        <v/>
      </c>
      <c r="K83" s="5">
        <f>IF(A83="","",IF(IFERROR(XLOOKUP(A83,tblAccounts[Account_ID],tblAccounts[Include],FALSE),FALSE),SUMIFS(tblAcctSummary[Realized_GL_Base],tblAcctSummary[Account_ID],A83),0))</f>
        <v/>
      </c>
      <c r="L83" s="5">
        <f>IF(A83="","",IF(IFERROR(XLOOKUP(A83,tblAccounts[Account_ID],tblAccounts[Include],FALSE),FALSE),SUMIFS(tblAcctSummary[Fees_Base],tblAcctSummary[Account_ID],A83),0))</f>
        <v/>
      </c>
      <c r="M83" s="5">
        <f>IF(A83="","",IF(IFERROR(XLOOKUP(A83,tblAccounts[Account_ID],tblAccounts[Include],FALSE),FALSE),SUMIFS(tblAcctSummary[Taxes_Base],tblAcctSummary[Account_ID],A83),0))</f>
        <v/>
      </c>
      <c r="N83" s="5">
        <f>IF(A83="","",IF(IFERROR(XLOOKUP(A83,tblAccounts[Account_ID],tblAccounts[Include],FALSE),FALSE),IFERROR(SUMPRODUCT(tblAcctSummary[Return_Period],tblAcctSummary[Begin_Balance_Base],--(tblAcctSummary[Account_ID]=A83))/IF(SUMIFS(tblAcctSummary[Begin_Balance_Base],tblAcctSummary[Account_ID],A83)=0,NA(),SUMIFS(tblAcctSummary[Begin_Balance_Base],tblAcctSummary[Account_ID],A83)),0),0))</f>
        <v/>
      </c>
    </row>
    <row r="84">
      <c r="A84" s="5">
        <f>IFERROR(INDEX(tblAccounts[Account_ID],81),"")</f>
        <v/>
      </c>
      <c r="B84" s="5">
        <f>IF(A84="","",IFERROR(XLOOKUP(A84,tblAccounts[Account_ID],tblAccounts[Account_Name],""),""))</f>
        <v/>
      </c>
      <c r="C84" s="5">
        <f>IF(A84="","",IFERROR(XLOOKUP(A84,tblAccounts[Account_ID],tblAccounts[Household_ID],""),""))</f>
        <v/>
      </c>
      <c r="D84" s="5">
        <f>IF(A84="","",IF(IFERROR(XLOOKUP(A84,tblAccounts[Account_ID],tblAccounts[Include],FALSE),FALSE),SUMIFS(tblAcctSummary[Begin_Balance_Base],tblAcctSummary[Account_ID],A84),0))</f>
        <v/>
      </c>
      <c r="E84" s="5">
        <f>IF(A84="","",IF(IFERROR(XLOOKUP(A84,tblAccounts[Account_ID],tblAccounts[Include],FALSE),FALSE),SUMIFS(tblAcctSummary[End_Balance_Base],tblAcctSummary[Account_ID],A84),0))</f>
        <v/>
      </c>
      <c r="F84" s="5">
        <f>IF(A84="","",IF(IFERROR(XLOOKUP(A84,tblAccounts[Account_ID],tblAccounts[Include],FALSE),FALSE),SUMIFS(tblAcctSummary[Net_Contrib_Base],tblAcctSummary[Account_ID],A84),0))</f>
        <v/>
      </c>
      <c r="G84" s="5">
        <f>IF(A84="","",IF(IFERROR(XLOOKUP(A84,tblAccounts[Account_ID],tblAccounts[Include],FALSE),FALSE),SUMIFS(tblAcctSummary[Income_Interest_Base],tblAcctSummary[Account_ID],A84),0))</f>
        <v/>
      </c>
      <c r="H84" s="5">
        <f>IF(A84="","",IF(IFERROR(XLOOKUP(A84,tblAccounts[Account_ID],tblAccounts[Include],FALSE),FALSE),SUMIFS(tblAcctSummary[Income_Dividends_Base],tblAcctSummary[Account_ID],A84),0))</f>
        <v/>
      </c>
      <c r="I84" s="5">
        <f>IF(A84="","",IF(IFERROR(XLOOKUP(A84,tblAccounts[Account_ID],tblAccounts[Include],FALSE),FALSE),SUMIFS(tblAcctSummary[Income_Other_Base],tblAcctSummary[Account_ID],A84),0))</f>
        <v/>
      </c>
      <c r="J84" s="5">
        <f>IF(A84="","",SUM(G84:I84))</f>
        <v/>
      </c>
      <c r="K84" s="5">
        <f>IF(A84="","",IF(IFERROR(XLOOKUP(A84,tblAccounts[Account_ID],tblAccounts[Include],FALSE),FALSE),SUMIFS(tblAcctSummary[Realized_GL_Base],tblAcctSummary[Account_ID],A84),0))</f>
        <v/>
      </c>
      <c r="L84" s="5">
        <f>IF(A84="","",IF(IFERROR(XLOOKUP(A84,tblAccounts[Account_ID],tblAccounts[Include],FALSE),FALSE),SUMIFS(tblAcctSummary[Fees_Base],tblAcctSummary[Account_ID],A84),0))</f>
        <v/>
      </c>
      <c r="M84" s="5">
        <f>IF(A84="","",IF(IFERROR(XLOOKUP(A84,tblAccounts[Account_ID],tblAccounts[Include],FALSE),FALSE),SUMIFS(tblAcctSummary[Taxes_Base],tblAcctSummary[Account_ID],A84),0))</f>
        <v/>
      </c>
      <c r="N84" s="5">
        <f>IF(A84="","",IF(IFERROR(XLOOKUP(A84,tblAccounts[Account_ID],tblAccounts[Include],FALSE),FALSE),IFERROR(SUMPRODUCT(tblAcctSummary[Return_Period],tblAcctSummary[Begin_Balance_Base],--(tblAcctSummary[Account_ID]=A84))/IF(SUMIFS(tblAcctSummary[Begin_Balance_Base],tblAcctSummary[Account_ID],A84)=0,NA(),SUMIFS(tblAcctSummary[Begin_Balance_Base],tblAcctSummary[Account_ID],A84)),0),0))</f>
        <v/>
      </c>
    </row>
    <row r="85">
      <c r="A85" s="5">
        <f>IFERROR(INDEX(tblAccounts[Account_ID],82),"")</f>
        <v/>
      </c>
      <c r="B85" s="5">
        <f>IF(A85="","",IFERROR(XLOOKUP(A85,tblAccounts[Account_ID],tblAccounts[Account_Name],""),""))</f>
        <v/>
      </c>
      <c r="C85" s="5">
        <f>IF(A85="","",IFERROR(XLOOKUP(A85,tblAccounts[Account_ID],tblAccounts[Household_ID],""),""))</f>
        <v/>
      </c>
      <c r="D85" s="5">
        <f>IF(A85="","",IF(IFERROR(XLOOKUP(A85,tblAccounts[Account_ID],tblAccounts[Include],FALSE),FALSE),SUMIFS(tblAcctSummary[Begin_Balance_Base],tblAcctSummary[Account_ID],A85),0))</f>
        <v/>
      </c>
      <c r="E85" s="5">
        <f>IF(A85="","",IF(IFERROR(XLOOKUP(A85,tblAccounts[Account_ID],tblAccounts[Include],FALSE),FALSE),SUMIFS(tblAcctSummary[End_Balance_Base],tblAcctSummary[Account_ID],A85),0))</f>
        <v/>
      </c>
      <c r="F85" s="5">
        <f>IF(A85="","",IF(IFERROR(XLOOKUP(A85,tblAccounts[Account_ID],tblAccounts[Include],FALSE),FALSE),SUMIFS(tblAcctSummary[Net_Contrib_Base],tblAcctSummary[Account_ID],A85),0))</f>
        <v/>
      </c>
      <c r="G85" s="5">
        <f>IF(A85="","",IF(IFERROR(XLOOKUP(A85,tblAccounts[Account_ID],tblAccounts[Include],FALSE),FALSE),SUMIFS(tblAcctSummary[Income_Interest_Base],tblAcctSummary[Account_ID],A85),0))</f>
        <v/>
      </c>
      <c r="H85" s="5">
        <f>IF(A85="","",IF(IFERROR(XLOOKUP(A85,tblAccounts[Account_ID],tblAccounts[Include],FALSE),FALSE),SUMIFS(tblAcctSummary[Income_Dividends_Base],tblAcctSummary[Account_ID],A85),0))</f>
        <v/>
      </c>
      <c r="I85" s="5">
        <f>IF(A85="","",IF(IFERROR(XLOOKUP(A85,tblAccounts[Account_ID],tblAccounts[Include],FALSE),FALSE),SUMIFS(tblAcctSummary[Income_Other_Base],tblAcctSummary[Account_ID],A85),0))</f>
        <v/>
      </c>
      <c r="J85" s="5">
        <f>IF(A85="","",SUM(G85:I85))</f>
        <v/>
      </c>
      <c r="K85" s="5">
        <f>IF(A85="","",IF(IFERROR(XLOOKUP(A85,tblAccounts[Account_ID],tblAccounts[Include],FALSE),FALSE),SUMIFS(tblAcctSummary[Realized_GL_Base],tblAcctSummary[Account_ID],A85),0))</f>
        <v/>
      </c>
      <c r="L85" s="5">
        <f>IF(A85="","",IF(IFERROR(XLOOKUP(A85,tblAccounts[Account_ID],tblAccounts[Include],FALSE),FALSE),SUMIFS(tblAcctSummary[Fees_Base],tblAcctSummary[Account_ID],A85),0))</f>
        <v/>
      </c>
      <c r="M85" s="5">
        <f>IF(A85="","",IF(IFERROR(XLOOKUP(A85,tblAccounts[Account_ID],tblAccounts[Include],FALSE),FALSE),SUMIFS(tblAcctSummary[Taxes_Base],tblAcctSummary[Account_ID],A85),0))</f>
        <v/>
      </c>
      <c r="N85" s="5">
        <f>IF(A85="","",IF(IFERROR(XLOOKUP(A85,tblAccounts[Account_ID],tblAccounts[Include],FALSE),FALSE),IFERROR(SUMPRODUCT(tblAcctSummary[Return_Period],tblAcctSummary[Begin_Balance_Base],--(tblAcctSummary[Account_ID]=A85))/IF(SUMIFS(tblAcctSummary[Begin_Balance_Base],tblAcctSummary[Account_ID],A85)=0,NA(),SUMIFS(tblAcctSummary[Begin_Balance_Base],tblAcctSummary[Account_ID],A85)),0),0))</f>
        <v/>
      </c>
    </row>
    <row r="86">
      <c r="A86" s="5">
        <f>IFERROR(INDEX(tblAccounts[Account_ID],83),"")</f>
        <v/>
      </c>
      <c r="B86" s="5">
        <f>IF(A86="","",IFERROR(XLOOKUP(A86,tblAccounts[Account_ID],tblAccounts[Account_Name],""),""))</f>
        <v/>
      </c>
      <c r="C86" s="5">
        <f>IF(A86="","",IFERROR(XLOOKUP(A86,tblAccounts[Account_ID],tblAccounts[Household_ID],""),""))</f>
        <v/>
      </c>
      <c r="D86" s="5">
        <f>IF(A86="","",IF(IFERROR(XLOOKUP(A86,tblAccounts[Account_ID],tblAccounts[Include],FALSE),FALSE),SUMIFS(tblAcctSummary[Begin_Balance_Base],tblAcctSummary[Account_ID],A86),0))</f>
        <v/>
      </c>
      <c r="E86" s="5">
        <f>IF(A86="","",IF(IFERROR(XLOOKUP(A86,tblAccounts[Account_ID],tblAccounts[Include],FALSE),FALSE),SUMIFS(tblAcctSummary[End_Balance_Base],tblAcctSummary[Account_ID],A86),0))</f>
        <v/>
      </c>
      <c r="F86" s="5">
        <f>IF(A86="","",IF(IFERROR(XLOOKUP(A86,tblAccounts[Account_ID],tblAccounts[Include],FALSE),FALSE),SUMIFS(tblAcctSummary[Net_Contrib_Base],tblAcctSummary[Account_ID],A86),0))</f>
        <v/>
      </c>
      <c r="G86" s="5">
        <f>IF(A86="","",IF(IFERROR(XLOOKUP(A86,tblAccounts[Account_ID],tblAccounts[Include],FALSE),FALSE),SUMIFS(tblAcctSummary[Income_Interest_Base],tblAcctSummary[Account_ID],A86),0))</f>
        <v/>
      </c>
      <c r="H86" s="5">
        <f>IF(A86="","",IF(IFERROR(XLOOKUP(A86,tblAccounts[Account_ID],tblAccounts[Include],FALSE),FALSE),SUMIFS(tblAcctSummary[Income_Dividends_Base],tblAcctSummary[Account_ID],A86),0))</f>
        <v/>
      </c>
      <c r="I86" s="5">
        <f>IF(A86="","",IF(IFERROR(XLOOKUP(A86,tblAccounts[Account_ID],tblAccounts[Include],FALSE),FALSE),SUMIFS(tblAcctSummary[Income_Other_Base],tblAcctSummary[Account_ID],A86),0))</f>
        <v/>
      </c>
      <c r="J86" s="5">
        <f>IF(A86="","",SUM(G86:I86))</f>
        <v/>
      </c>
      <c r="K86" s="5">
        <f>IF(A86="","",IF(IFERROR(XLOOKUP(A86,tblAccounts[Account_ID],tblAccounts[Include],FALSE),FALSE),SUMIFS(tblAcctSummary[Realized_GL_Base],tblAcctSummary[Account_ID],A86),0))</f>
        <v/>
      </c>
      <c r="L86" s="5">
        <f>IF(A86="","",IF(IFERROR(XLOOKUP(A86,tblAccounts[Account_ID],tblAccounts[Include],FALSE),FALSE),SUMIFS(tblAcctSummary[Fees_Base],tblAcctSummary[Account_ID],A86),0))</f>
        <v/>
      </c>
      <c r="M86" s="5">
        <f>IF(A86="","",IF(IFERROR(XLOOKUP(A86,tblAccounts[Account_ID],tblAccounts[Include],FALSE),FALSE),SUMIFS(tblAcctSummary[Taxes_Base],tblAcctSummary[Account_ID],A86),0))</f>
        <v/>
      </c>
      <c r="N86" s="5">
        <f>IF(A86="","",IF(IFERROR(XLOOKUP(A86,tblAccounts[Account_ID],tblAccounts[Include],FALSE),FALSE),IFERROR(SUMPRODUCT(tblAcctSummary[Return_Period],tblAcctSummary[Begin_Balance_Base],--(tblAcctSummary[Account_ID]=A86))/IF(SUMIFS(tblAcctSummary[Begin_Balance_Base],tblAcctSummary[Account_ID],A86)=0,NA(),SUMIFS(tblAcctSummary[Begin_Balance_Base],tblAcctSummary[Account_ID],A86)),0),0))</f>
        <v/>
      </c>
    </row>
    <row r="87">
      <c r="A87" s="5">
        <f>IFERROR(INDEX(tblAccounts[Account_ID],84),"")</f>
        <v/>
      </c>
      <c r="B87" s="5">
        <f>IF(A87="","",IFERROR(XLOOKUP(A87,tblAccounts[Account_ID],tblAccounts[Account_Name],""),""))</f>
        <v/>
      </c>
      <c r="C87" s="5">
        <f>IF(A87="","",IFERROR(XLOOKUP(A87,tblAccounts[Account_ID],tblAccounts[Household_ID],""),""))</f>
        <v/>
      </c>
      <c r="D87" s="5">
        <f>IF(A87="","",IF(IFERROR(XLOOKUP(A87,tblAccounts[Account_ID],tblAccounts[Include],FALSE),FALSE),SUMIFS(tblAcctSummary[Begin_Balance_Base],tblAcctSummary[Account_ID],A87),0))</f>
        <v/>
      </c>
      <c r="E87" s="5">
        <f>IF(A87="","",IF(IFERROR(XLOOKUP(A87,tblAccounts[Account_ID],tblAccounts[Include],FALSE),FALSE),SUMIFS(tblAcctSummary[End_Balance_Base],tblAcctSummary[Account_ID],A87),0))</f>
        <v/>
      </c>
      <c r="F87" s="5">
        <f>IF(A87="","",IF(IFERROR(XLOOKUP(A87,tblAccounts[Account_ID],tblAccounts[Include],FALSE),FALSE),SUMIFS(tblAcctSummary[Net_Contrib_Base],tblAcctSummary[Account_ID],A87),0))</f>
        <v/>
      </c>
      <c r="G87" s="5">
        <f>IF(A87="","",IF(IFERROR(XLOOKUP(A87,tblAccounts[Account_ID],tblAccounts[Include],FALSE),FALSE),SUMIFS(tblAcctSummary[Income_Interest_Base],tblAcctSummary[Account_ID],A87),0))</f>
        <v/>
      </c>
      <c r="H87" s="5">
        <f>IF(A87="","",IF(IFERROR(XLOOKUP(A87,tblAccounts[Account_ID],tblAccounts[Include],FALSE),FALSE),SUMIFS(tblAcctSummary[Income_Dividends_Base],tblAcctSummary[Account_ID],A87),0))</f>
        <v/>
      </c>
      <c r="I87" s="5">
        <f>IF(A87="","",IF(IFERROR(XLOOKUP(A87,tblAccounts[Account_ID],tblAccounts[Include],FALSE),FALSE),SUMIFS(tblAcctSummary[Income_Other_Base],tblAcctSummary[Account_ID],A87),0))</f>
        <v/>
      </c>
      <c r="J87" s="5">
        <f>IF(A87="","",SUM(G87:I87))</f>
        <v/>
      </c>
      <c r="K87" s="5">
        <f>IF(A87="","",IF(IFERROR(XLOOKUP(A87,tblAccounts[Account_ID],tblAccounts[Include],FALSE),FALSE),SUMIFS(tblAcctSummary[Realized_GL_Base],tblAcctSummary[Account_ID],A87),0))</f>
        <v/>
      </c>
      <c r="L87" s="5">
        <f>IF(A87="","",IF(IFERROR(XLOOKUP(A87,tblAccounts[Account_ID],tblAccounts[Include],FALSE),FALSE),SUMIFS(tblAcctSummary[Fees_Base],tblAcctSummary[Account_ID],A87),0))</f>
        <v/>
      </c>
      <c r="M87" s="5">
        <f>IF(A87="","",IF(IFERROR(XLOOKUP(A87,tblAccounts[Account_ID],tblAccounts[Include],FALSE),FALSE),SUMIFS(tblAcctSummary[Taxes_Base],tblAcctSummary[Account_ID],A87),0))</f>
        <v/>
      </c>
      <c r="N87" s="5">
        <f>IF(A87="","",IF(IFERROR(XLOOKUP(A87,tblAccounts[Account_ID],tblAccounts[Include],FALSE),FALSE),IFERROR(SUMPRODUCT(tblAcctSummary[Return_Period],tblAcctSummary[Begin_Balance_Base],--(tblAcctSummary[Account_ID]=A87))/IF(SUMIFS(tblAcctSummary[Begin_Balance_Base],tblAcctSummary[Account_ID],A87)=0,NA(),SUMIFS(tblAcctSummary[Begin_Balance_Base],tblAcctSummary[Account_ID],A87)),0),0))</f>
        <v/>
      </c>
    </row>
    <row r="88">
      <c r="A88" s="5">
        <f>IFERROR(INDEX(tblAccounts[Account_ID],85),"")</f>
        <v/>
      </c>
      <c r="B88" s="5">
        <f>IF(A88="","",IFERROR(XLOOKUP(A88,tblAccounts[Account_ID],tblAccounts[Account_Name],""),""))</f>
        <v/>
      </c>
      <c r="C88" s="5">
        <f>IF(A88="","",IFERROR(XLOOKUP(A88,tblAccounts[Account_ID],tblAccounts[Household_ID],""),""))</f>
        <v/>
      </c>
      <c r="D88" s="5">
        <f>IF(A88="","",IF(IFERROR(XLOOKUP(A88,tblAccounts[Account_ID],tblAccounts[Include],FALSE),FALSE),SUMIFS(tblAcctSummary[Begin_Balance_Base],tblAcctSummary[Account_ID],A88),0))</f>
        <v/>
      </c>
      <c r="E88" s="5">
        <f>IF(A88="","",IF(IFERROR(XLOOKUP(A88,tblAccounts[Account_ID],tblAccounts[Include],FALSE),FALSE),SUMIFS(tblAcctSummary[End_Balance_Base],tblAcctSummary[Account_ID],A88),0))</f>
        <v/>
      </c>
      <c r="F88" s="5">
        <f>IF(A88="","",IF(IFERROR(XLOOKUP(A88,tblAccounts[Account_ID],tblAccounts[Include],FALSE),FALSE),SUMIFS(tblAcctSummary[Net_Contrib_Base],tblAcctSummary[Account_ID],A88),0))</f>
        <v/>
      </c>
      <c r="G88" s="5">
        <f>IF(A88="","",IF(IFERROR(XLOOKUP(A88,tblAccounts[Account_ID],tblAccounts[Include],FALSE),FALSE),SUMIFS(tblAcctSummary[Income_Interest_Base],tblAcctSummary[Account_ID],A88),0))</f>
        <v/>
      </c>
      <c r="H88" s="5">
        <f>IF(A88="","",IF(IFERROR(XLOOKUP(A88,tblAccounts[Account_ID],tblAccounts[Include],FALSE),FALSE),SUMIFS(tblAcctSummary[Income_Dividends_Base],tblAcctSummary[Account_ID],A88),0))</f>
        <v/>
      </c>
      <c r="I88" s="5">
        <f>IF(A88="","",IF(IFERROR(XLOOKUP(A88,tblAccounts[Account_ID],tblAccounts[Include],FALSE),FALSE),SUMIFS(tblAcctSummary[Income_Other_Base],tblAcctSummary[Account_ID],A88),0))</f>
        <v/>
      </c>
      <c r="J88" s="5">
        <f>IF(A88="","",SUM(G88:I88))</f>
        <v/>
      </c>
      <c r="K88" s="5">
        <f>IF(A88="","",IF(IFERROR(XLOOKUP(A88,tblAccounts[Account_ID],tblAccounts[Include],FALSE),FALSE),SUMIFS(tblAcctSummary[Realized_GL_Base],tblAcctSummary[Account_ID],A88),0))</f>
        <v/>
      </c>
      <c r="L88" s="5">
        <f>IF(A88="","",IF(IFERROR(XLOOKUP(A88,tblAccounts[Account_ID],tblAccounts[Include],FALSE),FALSE),SUMIFS(tblAcctSummary[Fees_Base],tblAcctSummary[Account_ID],A88),0))</f>
        <v/>
      </c>
      <c r="M88" s="5">
        <f>IF(A88="","",IF(IFERROR(XLOOKUP(A88,tblAccounts[Account_ID],tblAccounts[Include],FALSE),FALSE),SUMIFS(tblAcctSummary[Taxes_Base],tblAcctSummary[Account_ID],A88),0))</f>
        <v/>
      </c>
      <c r="N88" s="5">
        <f>IF(A88="","",IF(IFERROR(XLOOKUP(A88,tblAccounts[Account_ID],tblAccounts[Include],FALSE),FALSE),IFERROR(SUMPRODUCT(tblAcctSummary[Return_Period],tblAcctSummary[Begin_Balance_Base],--(tblAcctSummary[Account_ID]=A88))/IF(SUMIFS(tblAcctSummary[Begin_Balance_Base],tblAcctSummary[Account_ID],A88)=0,NA(),SUMIFS(tblAcctSummary[Begin_Balance_Base],tblAcctSummary[Account_ID],A88)),0),0))</f>
        <v/>
      </c>
    </row>
    <row r="89">
      <c r="A89" s="5">
        <f>IFERROR(INDEX(tblAccounts[Account_ID],86),"")</f>
        <v/>
      </c>
      <c r="B89" s="5">
        <f>IF(A89="","",IFERROR(XLOOKUP(A89,tblAccounts[Account_ID],tblAccounts[Account_Name],""),""))</f>
        <v/>
      </c>
      <c r="C89" s="5">
        <f>IF(A89="","",IFERROR(XLOOKUP(A89,tblAccounts[Account_ID],tblAccounts[Household_ID],""),""))</f>
        <v/>
      </c>
      <c r="D89" s="5">
        <f>IF(A89="","",IF(IFERROR(XLOOKUP(A89,tblAccounts[Account_ID],tblAccounts[Include],FALSE),FALSE),SUMIFS(tblAcctSummary[Begin_Balance_Base],tblAcctSummary[Account_ID],A89),0))</f>
        <v/>
      </c>
      <c r="E89" s="5">
        <f>IF(A89="","",IF(IFERROR(XLOOKUP(A89,tblAccounts[Account_ID],tblAccounts[Include],FALSE),FALSE),SUMIFS(tblAcctSummary[End_Balance_Base],tblAcctSummary[Account_ID],A89),0))</f>
        <v/>
      </c>
      <c r="F89" s="5">
        <f>IF(A89="","",IF(IFERROR(XLOOKUP(A89,tblAccounts[Account_ID],tblAccounts[Include],FALSE),FALSE),SUMIFS(tblAcctSummary[Net_Contrib_Base],tblAcctSummary[Account_ID],A89),0))</f>
        <v/>
      </c>
      <c r="G89" s="5">
        <f>IF(A89="","",IF(IFERROR(XLOOKUP(A89,tblAccounts[Account_ID],tblAccounts[Include],FALSE),FALSE),SUMIFS(tblAcctSummary[Income_Interest_Base],tblAcctSummary[Account_ID],A89),0))</f>
        <v/>
      </c>
      <c r="H89" s="5">
        <f>IF(A89="","",IF(IFERROR(XLOOKUP(A89,tblAccounts[Account_ID],tblAccounts[Include],FALSE),FALSE),SUMIFS(tblAcctSummary[Income_Dividends_Base],tblAcctSummary[Account_ID],A89),0))</f>
        <v/>
      </c>
      <c r="I89" s="5">
        <f>IF(A89="","",IF(IFERROR(XLOOKUP(A89,tblAccounts[Account_ID],tblAccounts[Include],FALSE),FALSE),SUMIFS(tblAcctSummary[Income_Other_Base],tblAcctSummary[Account_ID],A89),0))</f>
        <v/>
      </c>
      <c r="J89" s="5">
        <f>IF(A89="","",SUM(G89:I89))</f>
        <v/>
      </c>
      <c r="K89" s="5">
        <f>IF(A89="","",IF(IFERROR(XLOOKUP(A89,tblAccounts[Account_ID],tblAccounts[Include],FALSE),FALSE),SUMIFS(tblAcctSummary[Realized_GL_Base],tblAcctSummary[Account_ID],A89),0))</f>
        <v/>
      </c>
      <c r="L89" s="5">
        <f>IF(A89="","",IF(IFERROR(XLOOKUP(A89,tblAccounts[Account_ID],tblAccounts[Include],FALSE),FALSE),SUMIFS(tblAcctSummary[Fees_Base],tblAcctSummary[Account_ID],A89),0))</f>
        <v/>
      </c>
      <c r="M89" s="5">
        <f>IF(A89="","",IF(IFERROR(XLOOKUP(A89,tblAccounts[Account_ID],tblAccounts[Include],FALSE),FALSE),SUMIFS(tblAcctSummary[Taxes_Base],tblAcctSummary[Account_ID],A89),0))</f>
        <v/>
      </c>
      <c r="N89" s="5">
        <f>IF(A89="","",IF(IFERROR(XLOOKUP(A89,tblAccounts[Account_ID],tblAccounts[Include],FALSE),FALSE),IFERROR(SUMPRODUCT(tblAcctSummary[Return_Period],tblAcctSummary[Begin_Balance_Base],--(tblAcctSummary[Account_ID]=A89))/IF(SUMIFS(tblAcctSummary[Begin_Balance_Base],tblAcctSummary[Account_ID],A89)=0,NA(),SUMIFS(tblAcctSummary[Begin_Balance_Base],tblAcctSummary[Account_ID],A89)),0),0))</f>
        <v/>
      </c>
    </row>
    <row r="90">
      <c r="A90" s="5">
        <f>IFERROR(INDEX(tblAccounts[Account_ID],87),"")</f>
        <v/>
      </c>
      <c r="B90" s="5">
        <f>IF(A90="","",IFERROR(XLOOKUP(A90,tblAccounts[Account_ID],tblAccounts[Account_Name],""),""))</f>
        <v/>
      </c>
      <c r="C90" s="5">
        <f>IF(A90="","",IFERROR(XLOOKUP(A90,tblAccounts[Account_ID],tblAccounts[Household_ID],""),""))</f>
        <v/>
      </c>
      <c r="D90" s="5">
        <f>IF(A90="","",IF(IFERROR(XLOOKUP(A90,tblAccounts[Account_ID],tblAccounts[Include],FALSE),FALSE),SUMIFS(tblAcctSummary[Begin_Balance_Base],tblAcctSummary[Account_ID],A90),0))</f>
        <v/>
      </c>
      <c r="E90" s="5">
        <f>IF(A90="","",IF(IFERROR(XLOOKUP(A90,tblAccounts[Account_ID],tblAccounts[Include],FALSE),FALSE),SUMIFS(tblAcctSummary[End_Balance_Base],tblAcctSummary[Account_ID],A90),0))</f>
        <v/>
      </c>
      <c r="F90" s="5">
        <f>IF(A90="","",IF(IFERROR(XLOOKUP(A90,tblAccounts[Account_ID],tblAccounts[Include],FALSE),FALSE),SUMIFS(tblAcctSummary[Net_Contrib_Base],tblAcctSummary[Account_ID],A90),0))</f>
        <v/>
      </c>
      <c r="G90" s="5">
        <f>IF(A90="","",IF(IFERROR(XLOOKUP(A90,tblAccounts[Account_ID],tblAccounts[Include],FALSE),FALSE),SUMIFS(tblAcctSummary[Income_Interest_Base],tblAcctSummary[Account_ID],A90),0))</f>
        <v/>
      </c>
      <c r="H90" s="5">
        <f>IF(A90="","",IF(IFERROR(XLOOKUP(A90,tblAccounts[Account_ID],tblAccounts[Include],FALSE),FALSE),SUMIFS(tblAcctSummary[Income_Dividends_Base],tblAcctSummary[Account_ID],A90),0))</f>
        <v/>
      </c>
      <c r="I90" s="5">
        <f>IF(A90="","",IF(IFERROR(XLOOKUP(A90,tblAccounts[Account_ID],tblAccounts[Include],FALSE),FALSE),SUMIFS(tblAcctSummary[Income_Other_Base],tblAcctSummary[Account_ID],A90),0))</f>
        <v/>
      </c>
      <c r="J90" s="5">
        <f>IF(A90="","",SUM(G90:I90))</f>
        <v/>
      </c>
      <c r="K90" s="5">
        <f>IF(A90="","",IF(IFERROR(XLOOKUP(A90,tblAccounts[Account_ID],tblAccounts[Include],FALSE),FALSE),SUMIFS(tblAcctSummary[Realized_GL_Base],tblAcctSummary[Account_ID],A90),0))</f>
        <v/>
      </c>
      <c r="L90" s="5">
        <f>IF(A90="","",IF(IFERROR(XLOOKUP(A90,tblAccounts[Account_ID],tblAccounts[Include],FALSE),FALSE),SUMIFS(tblAcctSummary[Fees_Base],tblAcctSummary[Account_ID],A90),0))</f>
        <v/>
      </c>
      <c r="M90" s="5">
        <f>IF(A90="","",IF(IFERROR(XLOOKUP(A90,tblAccounts[Account_ID],tblAccounts[Include],FALSE),FALSE),SUMIFS(tblAcctSummary[Taxes_Base],tblAcctSummary[Account_ID],A90),0))</f>
        <v/>
      </c>
      <c r="N90" s="5">
        <f>IF(A90="","",IF(IFERROR(XLOOKUP(A90,tblAccounts[Account_ID],tblAccounts[Include],FALSE),FALSE),IFERROR(SUMPRODUCT(tblAcctSummary[Return_Period],tblAcctSummary[Begin_Balance_Base],--(tblAcctSummary[Account_ID]=A90))/IF(SUMIFS(tblAcctSummary[Begin_Balance_Base],tblAcctSummary[Account_ID],A90)=0,NA(),SUMIFS(tblAcctSummary[Begin_Balance_Base],tblAcctSummary[Account_ID],A90)),0),0))</f>
        <v/>
      </c>
    </row>
    <row r="91">
      <c r="A91" s="5">
        <f>IFERROR(INDEX(tblAccounts[Account_ID],88),"")</f>
        <v/>
      </c>
      <c r="B91" s="5">
        <f>IF(A91="","",IFERROR(XLOOKUP(A91,tblAccounts[Account_ID],tblAccounts[Account_Name],""),""))</f>
        <v/>
      </c>
      <c r="C91" s="5">
        <f>IF(A91="","",IFERROR(XLOOKUP(A91,tblAccounts[Account_ID],tblAccounts[Household_ID],""),""))</f>
        <v/>
      </c>
      <c r="D91" s="5">
        <f>IF(A91="","",IF(IFERROR(XLOOKUP(A91,tblAccounts[Account_ID],tblAccounts[Include],FALSE),FALSE),SUMIFS(tblAcctSummary[Begin_Balance_Base],tblAcctSummary[Account_ID],A91),0))</f>
        <v/>
      </c>
      <c r="E91" s="5">
        <f>IF(A91="","",IF(IFERROR(XLOOKUP(A91,tblAccounts[Account_ID],tblAccounts[Include],FALSE),FALSE),SUMIFS(tblAcctSummary[End_Balance_Base],tblAcctSummary[Account_ID],A91),0))</f>
        <v/>
      </c>
      <c r="F91" s="5">
        <f>IF(A91="","",IF(IFERROR(XLOOKUP(A91,tblAccounts[Account_ID],tblAccounts[Include],FALSE),FALSE),SUMIFS(tblAcctSummary[Net_Contrib_Base],tblAcctSummary[Account_ID],A91),0))</f>
        <v/>
      </c>
      <c r="G91" s="5">
        <f>IF(A91="","",IF(IFERROR(XLOOKUP(A91,tblAccounts[Account_ID],tblAccounts[Include],FALSE),FALSE),SUMIFS(tblAcctSummary[Income_Interest_Base],tblAcctSummary[Account_ID],A91),0))</f>
        <v/>
      </c>
      <c r="H91" s="5">
        <f>IF(A91="","",IF(IFERROR(XLOOKUP(A91,tblAccounts[Account_ID],tblAccounts[Include],FALSE),FALSE),SUMIFS(tblAcctSummary[Income_Dividends_Base],tblAcctSummary[Account_ID],A91),0))</f>
        <v/>
      </c>
      <c r="I91" s="5">
        <f>IF(A91="","",IF(IFERROR(XLOOKUP(A91,tblAccounts[Account_ID],tblAccounts[Include],FALSE),FALSE),SUMIFS(tblAcctSummary[Income_Other_Base],tblAcctSummary[Account_ID],A91),0))</f>
        <v/>
      </c>
      <c r="J91" s="5">
        <f>IF(A91="","",SUM(G91:I91))</f>
        <v/>
      </c>
      <c r="K91" s="5">
        <f>IF(A91="","",IF(IFERROR(XLOOKUP(A91,tblAccounts[Account_ID],tblAccounts[Include],FALSE),FALSE),SUMIFS(tblAcctSummary[Realized_GL_Base],tblAcctSummary[Account_ID],A91),0))</f>
        <v/>
      </c>
      <c r="L91" s="5">
        <f>IF(A91="","",IF(IFERROR(XLOOKUP(A91,tblAccounts[Account_ID],tblAccounts[Include],FALSE),FALSE),SUMIFS(tblAcctSummary[Fees_Base],tblAcctSummary[Account_ID],A91),0))</f>
        <v/>
      </c>
      <c r="M91" s="5">
        <f>IF(A91="","",IF(IFERROR(XLOOKUP(A91,tblAccounts[Account_ID],tblAccounts[Include],FALSE),FALSE),SUMIFS(tblAcctSummary[Taxes_Base],tblAcctSummary[Account_ID],A91),0))</f>
        <v/>
      </c>
      <c r="N91" s="5">
        <f>IF(A91="","",IF(IFERROR(XLOOKUP(A91,tblAccounts[Account_ID],tblAccounts[Include],FALSE),FALSE),IFERROR(SUMPRODUCT(tblAcctSummary[Return_Period],tblAcctSummary[Begin_Balance_Base],--(tblAcctSummary[Account_ID]=A91))/IF(SUMIFS(tblAcctSummary[Begin_Balance_Base],tblAcctSummary[Account_ID],A91)=0,NA(),SUMIFS(tblAcctSummary[Begin_Balance_Base],tblAcctSummary[Account_ID],A91)),0),0))</f>
        <v/>
      </c>
    </row>
    <row r="92">
      <c r="A92" s="5">
        <f>IFERROR(INDEX(tblAccounts[Account_ID],89),"")</f>
        <v/>
      </c>
      <c r="B92" s="5">
        <f>IF(A92="","",IFERROR(XLOOKUP(A92,tblAccounts[Account_ID],tblAccounts[Account_Name],""),""))</f>
        <v/>
      </c>
      <c r="C92" s="5">
        <f>IF(A92="","",IFERROR(XLOOKUP(A92,tblAccounts[Account_ID],tblAccounts[Household_ID],""),""))</f>
        <v/>
      </c>
      <c r="D92" s="5">
        <f>IF(A92="","",IF(IFERROR(XLOOKUP(A92,tblAccounts[Account_ID],tblAccounts[Include],FALSE),FALSE),SUMIFS(tblAcctSummary[Begin_Balance_Base],tblAcctSummary[Account_ID],A92),0))</f>
        <v/>
      </c>
      <c r="E92" s="5">
        <f>IF(A92="","",IF(IFERROR(XLOOKUP(A92,tblAccounts[Account_ID],tblAccounts[Include],FALSE),FALSE),SUMIFS(tblAcctSummary[End_Balance_Base],tblAcctSummary[Account_ID],A92),0))</f>
        <v/>
      </c>
      <c r="F92" s="5">
        <f>IF(A92="","",IF(IFERROR(XLOOKUP(A92,tblAccounts[Account_ID],tblAccounts[Include],FALSE),FALSE),SUMIFS(tblAcctSummary[Net_Contrib_Base],tblAcctSummary[Account_ID],A92),0))</f>
        <v/>
      </c>
      <c r="G92" s="5">
        <f>IF(A92="","",IF(IFERROR(XLOOKUP(A92,tblAccounts[Account_ID],tblAccounts[Include],FALSE),FALSE),SUMIFS(tblAcctSummary[Income_Interest_Base],tblAcctSummary[Account_ID],A92),0))</f>
        <v/>
      </c>
      <c r="H92" s="5">
        <f>IF(A92="","",IF(IFERROR(XLOOKUP(A92,tblAccounts[Account_ID],tblAccounts[Include],FALSE),FALSE),SUMIFS(tblAcctSummary[Income_Dividends_Base],tblAcctSummary[Account_ID],A92),0))</f>
        <v/>
      </c>
      <c r="I92" s="5">
        <f>IF(A92="","",IF(IFERROR(XLOOKUP(A92,tblAccounts[Account_ID],tblAccounts[Include],FALSE),FALSE),SUMIFS(tblAcctSummary[Income_Other_Base],tblAcctSummary[Account_ID],A92),0))</f>
        <v/>
      </c>
      <c r="J92" s="5">
        <f>IF(A92="","",SUM(G92:I92))</f>
        <v/>
      </c>
      <c r="K92" s="5">
        <f>IF(A92="","",IF(IFERROR(XLOOKUP(A92,tblAccounts[Account_ID],tblAccounts[Include],FALSE),FALSE),SUMIFS(tblAcctSummary[Realized_GL_Base],tblAcctSummary[Account_ID],A92),0))</f>
        <v/>
      </c>
      <c r="L92" s="5">
        <f>IF(A92="","",IF(IFERROR(XLOOKUP(A92,tblAccounts[Account_ID],tblAccounts[Include],FALSE),FALSE),SUMIFS(tblAcctSummary[Fees_Base],tblAcctSummary[Account_ID],A92),0))</f>
        <v/>
      </c>
      <c r="M92" s="5">
        <f>IF(A92="","",IF(IFERROR(XLOOKUP(A92,tblAccounts[Account_ID],tblAccounts[Include],FALSE),FALSE),SUMIFS(tblAcctSummary[Taxes_Base],tblAcctSummary[Account_ID],A92),0))</f>
        <v/>
      </c>
      <c r="N92" s="5">
        <f>IF(A92="","",IF(IFERROR(XLOOKUP(A92,tblAccounts[Account_ID],tblAccounts[Include],FALSE),FALSE),IFERROR(SUMPRODUCT(tblAcctSummary[Return_Period],tblAcctSummary[Begin_Balance_Base],--(tblAcctSummary[Account_ID]=A92))/IF(SUMIFS(tblAcctSummary[Begin_Balance_Base],tblAcctSummary[Account_ID],A92)=0,NA(),SUMIFS(tblAcctSummary[Begin_Balance_Base],tblAcctSummary[Account_ID],A92)),0),0))</f>
        <v/>
      </c>
    </row>
    <row r="93">
      <c r="A93" s="5">
        <f>IFERROR(INDEX(tblAccounts[Account_ID],90),"")</f>
        <v/>
      </c>
      <c r="B93" s="5">
        <f>IF(A93="","",IFERROR(XLOOKUP(A93,tblAccounts[Account_ID],tblAccounts[Account_Name],""),""))</f>
        <v/>
      </c>
      <c r="C93" s="5">
        <f>IF(A93="","",IFERROR(XLOOKUP(A93,tblAccounts[Account_ID],tblAccounts[Household_ID],""),""))</f>
        <v/>
      </c>
      <c r="D93" s="5">
        <f>IF(A93="","",IF(IFERROR(XLOOKUP(A93,tblAccounts[Account_ID],tblAccounts[Include],FALSE),FALSE),SUMIFS(tblAcctSummary[Begin_Balance_Base],tblAcctSummary[Account_ID],A93),0))</f>
        <v/>
      </c>
      <c r="E93" s="5">
        <f>IF(A93="","",IF(IFERROR(XLOOKUP(A93,tblAccounts[Account_ID],tblAccounts[Include],FALSE),FALSE),SUMIFS(tblAcctSummary[End_Balance_Base],tblAcctSummary[Account_ID],A93),0))</f>
        <v/>
      </c>
      <c r="F93" s="5">
        <f>IF(A93="","",IF(IFERROR(XLOOKUP(A93,tblAccounts[Account_ID],tblAccounts[Include],FALSE),FALSE),SUMIFS(tblAcctSummary[Net_Contrib_Base],tblAcctSummary[Account_ID],A93),0))</f>
        <v/>
      </c>
      <c r="G93" s="5">
        <f>IF(A93="","",IF(IFERROR(XLOOKUP(A93,tblAccounts[Account_ID],tblAccounts[Include],FALSE),FALSE),SUMIFS(tblAcctSummary[Income_Interest_Base],tblAcctSummary[Account_ID],A93),0))</f>
        <v/>
      </c>
      <c r="H93" s="5">
        <f>IF(A93="","",IF(IFERROR(XLOOKUP(A93,tblAccounts[Account_ID],tblAccounts[Include],FALSE),FALSE),SUMIFS(tblAcctSummary[Income_Dividends_Base],tblAcctSummary[Account_ID],A93),0))</f>
        <v/>
      </c>
      <c r="I93" s="5">
        <f>IF(A93="","",IF(IFERROR(XLOOKUP(A93,tblAccounts[Account_ID],tblAccounts[Include],FALSE),FALSE),SUMIFS(tblAcctSummary[Income_Other_Base],tblAcctSummary[Account_ID],A93),0))</f>
        <v/>
      </c>
      <c r="J93" s="5">
        <f>IF(A93="","",SUM(G93:I93))</f>
        <v/>
      </c>
      <c r="K93" s="5">
        <f>IF(A93="","",IF(IFERROR(XLOOKUP(A93,tblAccounts[Account_ID],tblAccounts[Include],FALSE),FALSE),SUMIFS(tblAcctSummary[Realized_GL_Base],tblAcctSummary[Account_ID],A93),0))</f>
        <v/>
      </c>
      <c r="L93" s="5">
        <f>IF(A93="","",IF(IFERROR(XLOOKUP(A93,tblAccounts[Account_ID],tblAccounts[Include],FALSE),FALSE),SUMIFS(tblAcctSummary[Fees_Base],tblAcctSummary[Account_ID],A93),0))</f>
        <v/>
      </c>
      <c r="M93" s="5">
        <f>IF(A93="","",IF(IFERROR(XLOOKUP(A93,tblAccounts[Account_ID],tblAccounts[Include],FALSE),FALSE),SUMIFS(tblAcctSummary[Taxes_Base],tblAcctSummary[Account_ID],A93),0))</f>
        <v/>
      </c>
      <c r="N93" s="5">
        <f>IF(A93="","",IF(IFERROR(XLOOKUP(A93,tblAccounts[Account_ID],tblAccounts[Include],FALSE),FALSE),IFERROR(SUMPRODUCT(tblAcctSummary[Return_Period],tblAcctSummary[Begin_Balance_Base],--(tblAcctSummary[Account_ID]=A93))/IF(SUMIFS(tblAcctSummary[Begin_Balance_Base],tblAcctSummary[Account_ID],A93)=0,NA(),SUMIFS(tblAcctSummary[Begin_Balance_Base],tblAcctSummary[Account_ID],A93)),0),0))</f>
        <v/>
      </c>
    </row>
    <row r="94">
      <c r="A94" s="5">
        <f>IFERROR(INDEX(tblAccounts[Account_ID],91),"")</f>
        <v/>
      </c>
      <c r="B94" s="5">
        <f>IF(A94="","",IFERROR(XLOOKUP(A94,tblAccounts[Account_ID],tblAccounts[Account_Name],""),""))</f>
        <v/>
      </c>
      <c r="C94" s="5">
        <f>IF(A94="","",IFERROR(XLOOKUP(A94,tblAccounts[Account_ID],tblAccounts[Household_ID],""),""))</f>
        <v/>
      </c>
      <c r="D94" s="5">
        <f>IF(A94="","",IF(IFERROR(XLOOKUP(A94,tblAccounts[Account_ID],tblAccounts[Include],FALSE),FALSE),SUMIFS(tblAcctSummary[Begin_Balance_Base],tblAcctSummary[Account_ID],A94),0))</f>
        <v/>
      </c>
      <c r="E94" s="5">
        <f>IF(A94="","",IF(IFERROR(XLOOKUP(A94,tblAccounts[Account_ID],tblAccounts[Include],FALSE),FALSE),SUMIFS(tblAcctSummary[End_Balance_Base],tblAcctSummary[Account_ID],A94),0))</f>
        <v/>
      </c>
      <c r="F94" s="5">
        <f>IF(A94="","",IF(IFERROR(XLOOKUP(A94,tblAccounts[Account_ID],tblAccounts[Include],FALSE),FALSE),SUMIFS(tblAcctSummary[Net_Contrib_Base],tblAcctSummary[Account_ID],A94),0))</f>
        <v/>
      </c>
      <c r="G94" s="5">
        <f>IF(A94="","",IF(IFERROR(XLOOKUP(A94,tblAccounts[Account_ID],tblAccounts[Include],FALSE),FALSE),SUMIFS(tblAcctSummary[Income_Interest_Base],tblAcctSummary[Account_ID],A94),0))</f>
        <v/>
      </c>
      <c r="H94" s="5">
        <f>IF(A94="","",IF(IFERROR(XLOOKUP(A94,tblAccounts[Account_ID],tblAccounts[Include],FALSE),FALSE),SUMIFS(tblAcctSummary[Income_Dividends_Base],tblAcctSummary[Account_ID],A94),0))</f>
        <v/>
      </c>
      <c r="I94" s="5">
        <f>IF(A94="","",IF(IFERROR(XLOOKUP(A94,tblAccounts[Account_ID],tblAccounts[Include],FALSE),FALSE),SUMIFS(tblAcctSummary[Income_Other_Base],tblAcctSummary[Account_ID],A94),0))</f>
        <v/>
      </c>
      <c r="J94" s="5">
        <f>IF(A94="","",SUM(G94:I94))</f>
        <v/>
      </c>
      <c r="K94" s="5">
        <f>IF(A94="","",IF(IFERROR(XLOOKUP(A94,tblAccounts[Account_ID],tblAccounts[Include],FALSE),FALSE),SUMIFS(tblAcctSummary[Realized_GL_Base],tblAcctSummary[Account_ID],A94),0))</f>
        <v/>
      </c>
      <c r="L94" s="5">
        <f>IF(A94="","",IF(IFERROR(XLOOKUP(A94,tblAccounts[Account_ID],tblAccounts[Include],FALSE),FALSE),SUMIFS(tblAcctSummary[Fees_Base],tblAcctSummary[Account_ID],A94),0))</f>
        <v/>
      </c>
      <c r="M94" s="5">
        <f>IF(A94="","",IF(IFERROR(XLOOKUP(A94,tblAccounts[Account_ID],tblAccounts[Include],FALSE),FALSE),SUMIFS(tblAcctSummary[Taxes_Base],tblAcctSummary[Account_ID],A94),0))</f>
        <v/>
      </c>
      <c r="N94" s="5">
        <f>IF(A94="","",IF(IFERROR(XLOOKUP(A94,tblAccounts[Account_ID],tblAccounts[Include],FALSE),FALSE),IFERROR(SUMPRODUCT(tblAcctSummary[Return_Period],tblAcctSummary[Begin_Balance_Base],--(tblAcctSummary[Account_ID]=A94))/IF(SUMIFS(tblAcctSummary[Begin_Balance_Base],tblAcctSummary[Account_ID],A94)=0,NA(),SUMIFS(tblAcctSummary[Begin_Balance_Base],tblAcctSummary[Account_ID],A94)),0),0))</f>
        <v/>
      </c>
    </row>
    <row r="95">
      <c r="A95" s="5">
        <f>IFERROR(INDEX(tblAccounts[Account_ID],92),"")</f>
        <v/>
      </c>
      <c r="B95" s="5">
        <f>IF(A95="","",IFERROR(XLOOKUP(A95,tblAccounts[Account_ID],tblAccounts[Account_Name],""),""))</f>
        <v/>
      </c>
      <c r="C95" s="5">
        <f>IF(A95="","",IFERROR(XLOOKUP(A95,tblAccounts[Account_ID],tblAccounts[Household_ID],""),""))</f>
        <v/>
      </c>
      <c r="D95" s="5">
        <f>IF(A95="","",IF(IFERROR(XLOOKUP(A95,tblAccounts[Account_ID],tblAccounts[Include],FALSE),FALSE),SUMIFS(tblAcctSummary[Begin_Balance_Base],tblAcctSummary[Account_ID],A95),0))</f>
        <v/>
      </c>
      <c r="E95" s="5">
        <f>IF(A95="","",IF(IFERROR(XLOOKUP(A95,tblAccounts[Account_ID],tblAccounts[Include],FALSE),FALSE),SUMIFS(tblAcctSummary[End_Balance_Base],tblAcctSummary[Account_ID],A95),0))</f>
        <v/>
      </c>
      <c r="F95" s="5">
        <f>IF(A95="","",IF(IFERROR(XLOOKUP(A95,tblAccounts[Account_ID],tblAccounts[Include],FALSE),FALSE),SUMIFS(tblAcctSummary[Net_Contrib_Base],tblAcctSummary[Account_ID],A95),0))</f>
        <v/>
      </c>
      <c r="G95" s="5">
        <f>IF(A95="","",IF(IFERROR(XLOOKUP(A95,tblAccounts[Account_ID],tblAccounts[Include],FALSE),FALSE),SUMIFS(tblAcctSummary[Income_Interest_Base],tblAcctSummary[Account_ID],A95),0))</f>
        <v/>
      </c>
      <c r="H95" s="5">
        <f>IF(A95="","",IF(IFERROR(XLOOKUP(A95,tblAccounts[Account_ID],tblAccounts[Include],FALSE),FALSE),SUMIFS(tblAcctSummary[Income_Dividends_Base],tblAcctSummary[Account_ID],A95),0))</f>
        <v/>
      </c>
      <c r="I95" s="5">
        <f>IF(A95="","",IF(IFERROR(XLOOKUP(A95,tblAccounts[Account_ID],tblAccounts[Include],FALSE),FALSE),SUMIFS(tblAcctSummary[Income_Other_Base],tblAcctSummary[Account_ID],A95),0))</f>
        <v/>
      </c>
      <c r="J95" s="5">
        <f>IF(A95="","",SUM(G95:I95))</f>
        <v/>
      </c>
      <c r="K95" s="5">
        <f>IF(A95="","",IF(IFERROR(XLOOKUP(A95,tblAccounts[Account_ID],tblAccounts[Include],FALSE),FALSE),SUMIFS(tblAcctSummary[Realized_GL_Base],tblAcctSummary[Account_ID],A95),0))</f>
        <v/>
      </c>
      <c r="L95" s="5">
        <f>IF(A95="","",IF(IFERROR(XLOOKUP(A95,tblAccounts[Account_ID],tblAccounts[Include],FALSE),FALSE),SUMIFS(tblAcctSummary[Fees_Base],tblAcctSummary[Account_ID],A95),0))</f>
        <v/>
      </c>
      <c r="M95" s="5">
        <f>IF(A95="","",IF(IFERROR(XLOOKUP(A95,tblAccounts[Account_ID],tblAccounts[Include],FALSE),FALSE),SUMIFS(tblAcctSummary[Taxes_Base],tblAcctSummary[Account_ID],A95),0))</f>
        <v/>
      </c>
      <c r="N95" s="5">
        <f>IF(A95="","",IF(IFERROR(XLOOKUP(A95,tblAccounts[Account_ID],tblAccounts[Include],FALSE),FALSE),IFERROR(SUMPRODUCT(tblAcctSummary[Return_Period],tblAcctSummary[Begin_Balance_Base],--(tblAcctSummary[Account_ID]=A95))/IF(SUMIFS(tblAcctSummary[Begin_Balance_Base],tblAcctSummary[Account_ID],A95)=0,NA(),SUMIFS(tblAcctSummary[Begin_Balance_Base],tblAcctSummary[Account_ID],A95)),0),0))</f>
        <v/>
      </c>
    </row>
    <row r="96">
      <c r="A96" s="5">
        <f>IFERROR(INDEX(tblAccounts[Account_ID],93),"")</f>
        <v/>
      </c>
      <c r="B96" s="5">
        <f>IF(A96="","",IFERROR(XLOOKUP(A96,tblAccounts[Account_ID],tblAccounts[Account_Name],""),""))</f>
        <v/>
      </c>
      <c r="C96" s="5">
        <f>IF(A96="","",IFERROR(XLOOKUP(A96,tblAccounts[Account_ID],tblAccounts[Household_ID],""),""))</f>
        <v/>
      </c>
      <c r="D96" s="5">
        <f>IF(A96="","",IF(IFERROR(XLOOKUP(A96,tblAccounts[Account_ID],tblAccounts[Include],FALSE),FALSE),SUMIFS(tblAcctSummary[Begin_Balance_Base],tblAcctSummary[Account_ID],A96),0))</f>
        <v/>
      </c>
      <c r="E96" s="5">
        <f>IF(A96="","",IF(IFERROR(XLOOKUP(A96,tblAccounts[Account_ID],tblAccounts[Include],FALSE),FALSE),SUMIFS(tblAcctSummary[End_Balance_Base],tblAcctSummary[Account_ID],A96),0))</f>
        <v/>
      </c>
      <c r="F96" s="5">
        <f>IF(A96="","",IF(IFERROR(XLOOKUP(A96,tblAccounts[Account_ID],tblAccounts[Include],FALSE),FALSE),SUMIFS(tblAcctSummary[Net_Contrib_Base],tblAcctSummary[Account_ID],A96),0))</f>
        <v/>
      </c>
      <c r="G96" s="5">
        <f>IF(A96="","",IF(IFERROR(XLOOKUP(A96,tblAccounts[Account_ID],tblAccounts[Include],FALSE),FALSE),SUMIFS(tblAcctSummary[Income_Interest_Base],tblAcctSummary[Account_ID],A96),0))</f>
        <v/>
      </c>
      <c r="H96" s="5">
        <f>IF(A96="","",IF(IFERROR(XLOOKUP(A96,tblAccounts[Account_ID],tblAccounts[Include],FALSE),FALSE),SUMIFS(tblAcctSummary[Income_Dividends_Base],tblAcctSummary[Account_ID],A96),0))</f>
        <v/>
      </c>
      <c r="I96" s="5">
        <f>IF(A96="","",IF(IFERROR(XLOOKUP(A96,tblAccounts[Account_ID],tblAccounts[Include],FALSE),FALSE),SUMIFS(tblAcctSummary[Income_Other_Base],tblAcctSummary[Account_ID],A96),0))</f>
        <v/>
      </c>
      <c r="J96" s="5">
        <f>IF(A96="","",SUM(G96:I96))</f>
        <v/>
      </c>
      <c r="K96" s="5">
        <f>IF(A96="","",IF(IFERROR(XLOOKUP(A96,tblAccounts[Account_ID],tblAccounts[Include],FALSE),FALSE),SUMIFS(tblAcctSummary[Realized_GL_Base],tblAcctSummary[Account_ID],A96),0))</f>
        <v/>
      </c>
      <c r="L96" s="5">
        <f>IF(A96="","",IF(IFERROR(XLOOKUP(A96,tblAccounts[Account_ID],tblAccounts[Include],FALSE),FALSE),SUMIFS(tblAcctSummary[Fees_Base],tblAcctSummary[Account_ID],A96),0))</f>
        <v/>
      </c>
      <c r="M96" s="5">
        <f>IF(A96="","",IF(IFERROR(XLOOKUP(A96,tblAccounts[Account_ID],tblAccounts[Include],FALSE),FALSE),SUMIFS(tblAcctSummary[Taxes_Base],tblAcctSummary[Account_ID],A96),0))</f>
        <v/>
      </c>
      <c r="N96" s="5">
        <f>IF(A96="","",IF(IFERROR(XLOOKUP(A96,tblAccounts[Account_ID],tblAccounts[Include],FALSE),FALSE),IFERROR(SUMPRODUCT(tblAcctSummary[Return_Period],tblAcctSummary[Begin_Balance_Base],--(tblAcctSummary[Account_ID]=A96))/IF(SUMIFS(tblAcctSummary[Begin_Balance_Base],tblAcctSummary[Account_ID],A96)=0,NA(),SUMIFS(tblAcctSummary[Begin_Balance_Base],tblAcctSummary[Account_ID],A96)),0),0))</f>
        <v/>
      </c>
    </row>
    <row r="97">
      <c r="A97" s="5">
        <f>IFERROR(INDEX(tblAccounts[Account_ID],94),"")</f>
        <v/>
      </c>
      <c r="B97" s="5">
        <f>IF(A97="","",IFERROR(XLOOKUP(A97,tblAccounts[Account_ID],tblAccounts[Account_Name],""),""))</f>
        <v/>
      </c>
      <c r="C97" s="5">
        <f>IF(A97="","",IFERROR(XLOOKUP(A97,tblAccounts[Account_ID],tblAccounts[Household_ID],""),""))</f>
        <v/>
      </c>
      <c r="D97" s="5">
        <f>IF(A97="","",IF(IFERROR(XLOOKUP(A97,tblAccounts[Account_ID],tblAccounts[Include],FALSE),FALSE),SUMIFS(tblAcctSummary[Begin_Balance_Base],tblAcctSummary[Account_ID],A97),0))</f>
        <v/>
      </c>
      <c r="E97" s="5">
        <f>IF(A97="","",IF(IFERROR(XLOOKUP(A97,tblAccounts[Account_ID],tblAccounts[Include],FALSE),FALSE),SUMIFS(tblAcctSummary[End_Balance_Base],tblAcctSummary[Account_ID],A97),0))</f>
        <v/>
      </c>
      <c r="F97" s="5">
        <f>IF(A97="","",IF(IFERROR(XLOOKUP(A97,tblAccounts[Account_ID],tblAccounts[Include],FALSE),FALSE),SUMIFS(tblAcctSummary[Net_Contrib_Base],tblAcctSummary[Account_ID],A97),0))</f>
        <v/>
      </c>
      <c r="G97" s="5">
        <f>IF(A97="","",IF(IFERROR(XLOOKUP(A97,tblAccounts[Account_ID],tblAccounts[Include],FALSE),FALSE),SUMIFS(tblAcctSummary[Income_Interest_Base],tblAcctSummary[Account_ID],A97),0))</f>
        <v/>
      </c>
      <c r="H97" s="5">
        <f>IF(A97="","",IF(IFERROR(XLOOKUP(A97,tblAccounts[Account_ID],tblAccounts[Include],FALSE),FALSE),SUMIFS(tblAcctSummary[Income_Dividends_Base],tblAcctSummary[Account_ID],A97),0))</f>
        <v/>
      </c>
      <c r="I97" s="5">
        <f>IF(A97="","",IF(IFERROR(XLOOKUP(A97,tblAccounts[Account_ID],tblAccounts[Include],FALSE),FALSE),SUMIFS(tblAcctSummary[Income_Other_Base],tblAcctSummary[Account_ID],A97),0))</f>
        <v/>
      </c>
      <c r="J97" s="5">
        <f>IF(A97="","",SUM(G97:I97))</f>
        <v/>
      </c>
      <c r="K97" s="5">
        <f>IF(A97="","",IF(IFERROR(XLOOKUP(A97,tblAccounts[Account_ID],tblAccounts[Include],FALSE),FALSE),SUMIFS(tblAcctSummary[Realized_GL_Base],tblAcctSummary[Account_ID],A97),0))</f>
        <v/>
      </c>
      <c r="L97" s="5">
        <f>IF(A97="","",IF(IFERROR(XLOOKUP(A97,tblAccounts[Account_ID],tblAccounts[Include],FALSE),FALSE),SUMIFS(tblAcctSummary[Fees_Base],tblAcctSummary[Account_ID],A97),0))</f>
        <v/>
      </c>
      <c r="M97" s="5">
        <f>IF(A97="","",IF(IFERROR(XLOOKUP(A97,tblAccounts[Account_ID],tblAccounts[Include],FALSE),FALSE),SUMIFS(tblAcctSummary[Taxes_Base],tblAcctSummary[Account_ID],A97),0))</f>
        <v/>
      </c>
      <c r="N97" s="5">
        <f>IF(A97="","",IF(IFERROR(XLOOKUP(A97,tblAccounts[Account_ID],tblAccounts[Include],FALSE),FALSE),IFERROR(SUMPRODUCT(tblAcctSummary[Return_Period],tblAcctSummary[Begin_Balance_Base],--(tblAcctSummary[Account_ID]=A97))/IF(SUMIFS(tblAcctSummary[Begin_Balance_Base],tblAcctSummary[Account_ID],A97)=0,NA(),SUMIFS(tblAcctSummary[Begin_Balance_Base],tblAcctSummary[Account_ID],A97)),0),0))</f>
        <v/>
      </c>
    </row>
    <row r="98">
      <c r="A98" s="5">
        <f>IFERROR(INDEX(tblAccounts[Account_ID],95),"")</f>
        <v/>
      </c>
      <c r="B98" s="5">
        <f>IF(A98="","",IFERROR(XLOOKUP(A98,tblAccounts[Account_ID],tblAccounts[Account_Name],""),""))</f>
        <v/>
      </c>
      <c r="C98" s="5">
        <f>IF(A98="","",IFERROR(XLOOKUP(A98,tblAccounts[Account_ID],tblAccounts[Household_ID],""),""))</f>
        <v/>
      </c>
      <c r="D98" s="5">
        <f>IF(A98="","",IF(IFERROR(XLOOKUP(A98,tblAccounts[Account_ID],tblAccounts[Include],FALSE),FALSE),SUMIFS(tblAcctSummary[Begin_Balance_Base],tblAcctSummary[Account_ID],A98),0))</f>
        <v/>
      </c>
      <c r="E98" s="5">
        <f>IF(A98="","",IF(IFERROR(XLOOKUP(A98,tblAccounts[Account_ID],tblAccounts[Include],FALSE),FALSE),SUMIFS(tblAcctSummary[End_Balance_Base],tblAcctSummary[Account_ID],A98),0))</f>
        <v/>
      </c>
      <c r="F98" s="5">
        <f>IF(A98="","",IF(IFERROR(XLOOKUP(A98,tblAccounts[Account_ID],tblAccounts[Include],FALSE),FALSE),SUMIFS(tblAcctSummary[Net_Contrib_Base],tblAcctSummary[Account_ID],A98),0))</f>
        <v/>
      </c>
      <c r="G98" s="5">
        <f>IF(A98="","",IF(IFERROR(XLOOKUP(A98,tblAccounts[Account_ID],tblAccounts[Include],FALSE),FALSE),SUMIFS(tblAcctSummary[Income_Interest_Base],tblAcctSummary[Account_ID],A98),0))</f>
        <v/>
      </c>
      <c r="H98" s="5">
        <f>IF(A98="","",IF(IFERROR(XLOOKUP(A98,tblAccounts[Account_ID],tblAccounts[Include],FALSE),FALSE),SUMIFS(tblAcctSummary[Income_Dividends_Base],tblAcctSummary[Account_ID],A98),0))</f>
        <v/>
      </c>
      <c r="I98" s="5">
        <f>IF(A98="","",IF(IFERROR(XLOOKUP(A98,tblAccounts[Account_ID],tblAccounts[Include],FALSE),FALSE),SUMIFS(tblAcctSummary[Income_Other_Base],tblAcctSummary[Account_ID],A98),0))</f>
        <v/>
      </c>
      <c r="J98" s="5">
        <f>IF(A98="","",SUM(G98:I98))</f>
        <v/>
      </c>
      <c r="K98" s="5">
        <f>IF(A98="","",IF(IFERROR(XLOOKUP(A98,tblAccounts[Account_ID],tblAccounts[Include],FALSE),FALSE),SUMIFS(tblAcctSummary[Realized_GL_Base],tblAcctSummary[Account_ID],A98),0))</f>
        <v/>
      </c>
      <c r="L98" s="5">
        <f>IF(A98="","",IF(IFERROR(XLOOKUP(A98,tblAccounts[Account_ID],tblAccounts[Include],FALSE),FALSE),SUMIFS(tblAcctSummary[Fees_Base],tblAcctSummary[Account_ID],A98),0))</f>
        <v/>
      </c>
      <c r="M98" s="5">
        <f>IF(A98="","",IF(IFERROR(XLOOKUP(A98,tblAccounts[Account_ID],tblAccounts[Include],FALSE),FALSE),SUMIFS(tblAcctSummary[Taxes_Base],tblAcctSummary[Account_ID],A98),0))</f>
        <v/>
      </c>
      <c r="N98" s="5">
        <f>IF(A98="","",IF(IFERROR(XLOOKUP(A98,tblAccounts[Account_ID],tblAccounts[Include],FALSE),FALSE),IFERROR(SUMPRODUCT(tblAcctSummary[Return_Period],tblAcctSummary[Begin_Balance_Base],--(tblAcctSummary[Account_ID]=A98))/IF(SUMIFS(tblAcctSummary[Begin_Balance_Base],tblAcctSummary[Account_ID],A98)=0,NA(),SUMIFS(tblAcctSummary[Begin_Balance_Base],tblAcctSummary[Account_ID],A98)),0),0))</f>
        <v/>
      </c>
    </row>
    <row r="99">
      <c r="A99" s="5">
        <f>IFERROR(INDEX(tblAccounts[Account_ID],96),"")</f>
        <v/>
      </c>
      <c r="B99" s="5">
        <f>IF(A99="","",IFERROR(XLOOKUP(A99,tblAccounts[Account_ID],tblAccounts[Account_Name],""),""))</f>
        <v/>
      </c>
      <c r="C99" s="5">
        <f>IF(A99="","",IFERROR(XLOOKUP(A99,tblAccounts[Account_ID],tblAccounts[Household_ID],""),""))</f>
        <v/>
      </c>
      <c r="D99" s="5">
        <f>IF(A99="","",IF(IFERROR(XLOOKUP(A99,tblAccounts[Account_ID],tblAccounts[Include],FALSE),FALSE),SUMIFS(tblAcctSummary[Begin_Balance_Base],tblAcctSummary[Account_ID],A99),0))</f>
        <v/>
      </c>
      <c r="E99" s="5">
        <f>IF(A99="","",IF(IFERROR(XLOOKUP(A99,tblAccounts[Account_ID],tblAccounts[Include],FALSE),FALSE),SUMIFS(tblAcctSummary[End_Balance_Base],tblAcctSummary[Account_ID],A99),0))</f>
        <v/>
      </c>
      <c r="F99" s="5">
        <f>IF(A99="","",IF(IFERROR(XLOOKUP(A99,tblAccounts[Account_ID],tblAccounts[Include],FALSE),FALSE),SUMIFS(tblAcctSummary[Net_Contrib_Base],tblAcctSummary[Account_ID],A99),0))</f>
        <v/>
      </c>
      <c r="G99" s="5">
        <f>IF(A99="","",IF(IFERROR(XLOOKUP(A99,tblAccounts[Account_ID],tblAccounts[Include],FALSE),FALSE),SUMIFS(tblAcctSummary[Income_Interest_Base],tblAcctSummary[Account_ID],A99),0))</f>
        <v/>
      </c>
      <c r="H99" s="5">
        <f>IF(A99="","",IF(IFERROR(XLOOKUP(A99,tblAccounts[Account_ID],tblAccounts[Include],FALSE),FALSE),SUMIFS(tblAcctSummary[Income_Dividends_Base],tblAcctSummary[Account_ID],A99),0))</f>
        <v/>
      </c>
      <c r="I99" s="5">
        <f>IF(A99="","",IF(IFERROR(XLOOKUP(A99,tblAccounts[Account_ID],tblAccounts[Include],FALSE),FALSE),SUMIFS(tblAcctSummary[Income_Other_Base],tblAcctSummary[Account_ID],A99),0))</f>
        <v/>
      </c>
      <c r="J99" s="5">
        <f>IF(A99="","",SUM(G99:I99))</f>
        <v/>
      </c>
      <c r="K99" s="5">
        <f>IF(A99="","",IF(IFERROR(XLOOKUP(A99,tblAccounts[Account_ID],tblAccounts[Include],FALSE),FALSE),SUMIFS(tblAcctSummary[Realized_GL_Base],tblAcctSummary[Account_ID],A99),0))</f>
        <v/>
      </c>
      <c r="L99" s="5">
        <f>IF(A99="","",IF(IFERROR(XLOOKUP(A99,tblAccounts[Account_ID],tblAccounts[Include],FALSE),FALSE),SUMIFS(tblAcctSummary[Fees_Base],tblAcctSummary[Account_ID],A99),0))</f>
        <v/>
      </c>
      <c r="M99" s="5">
        <f>IF(A99="","",IF(IFERROR(XLOOKUP(A99,tblAccounts[Account_ID],tblAccounts[Include],FALSE),FALSE),SUMIFS(tblAcctSummary[Taxes_Base],tblAcctSummary[Account_ID],A99),0))</f>
        <v/>
      </c>
      <c r="N99" s="5">
        <f>IF(A99="","",IF(IFERROR(XLOOKUP(A99,tblAccounts[Account_ID],tblAccounts[Include],FALSE),FALSE),IFERROR(SUMPRODUCT(tblAcctSummary[Return_Period],tblAcctSummary[Begin_Balance_Base],--(tblAcctSummary[Account_ID]=A99))/IF(SUMIFS(tblAcctSummary[Begin_Balance_Base],tblAcctSummary[Account_ID],A99)=0,NA(),SUMIFS(tblAcctSummary[Begin_Balance_Base],tblAcctSummary[Account_ID],A99)),0),0))</f>
        <v/>
      </c>
    </row>
    <row r="100">
      <c r="A100" s="5">
        <f>IFERROR(INDEX(tblAccounts[Account_ID],97),"")</f>
        <v/>
      </c>
      <c r="B100" s="5">
        <f>IF(A100="","",IFERROR(XLOOKUP(A100,tblAccounts[Account_ID],tblAccounts[Account_Name],""),""))</f>
        <v/>
      </c>
      <c r="C100" s="5">
        <f>IF(A100="","",IFERROR(XLOOKUP(A100,tblAccounts[Account_ID],tblAccounts[Household_ID],""),""))</f>
        <v/>
      </c>
      <c r="D100" s="5">
        <f>IF(A100="","",IF(IFERROR(XLOOKUP(A100,tblAccounts[Account_ID],tblAccounts[Include],FALSE),FALSE),SUMIFS(tblAcctSummary[Begin_Balance_Base],tblAcctSummary[Account_ID],A100),0))</f>
        <v/>
      </c>
      <c r="E100" s="5">
        <f>IF(A100="","",IF(IFERROR(XLOOKUP(A100,tblAccounts[Account_ID],tblAccounts[Include],FALSE),FALSE),SUMIFS(tblAcctSummary[End_Balance_Base],tblAcctSummary[Account_ID],A100),0))</f>
        <v/>
      </c>
      <c r="F100" s="5">
        <f>IF(A100="","",IF(IFERROR(XLOOKUP(A100,tblAccounts[Account_ID],tblAccounts[Include],FALSE),FALSE),SUMIFS(tblAcctSummary[Net_Contrib_Base],tblAcctSummary[Account_ID],A100),0))</f>
        <v/>
      </c>
      <c r="G100" s="5">
        <f>IF(A100="","",IF(IFERROR(XLOOKUP(A100,tblAccounts[Account_ID],tblAccounts[Include],FALSE),FALSE),SUMIFS(tblAcctSummary[Income_Interest_Base],tblAcctSummary[Account_ID],A100),0))</f>
        <v/>
      </c>
      <c r="H100" s="5">
        <f>IF(A100="","",IF(IFERROR(XLOOKUP(A100,tblAccounts[Account_ID],tblAccounts[Include],FALSE),FALSE),SUMIFS(tblAcctSummary[Income_Dividends_Base],tblAcctSummary[Account_ID],A100),0))</f>
        <v/>
      </c>
      <c r="I100" s="5">
        <f>IF(A100="","",IF(IFERROR(XLOOKUP(A100,tblAccounts[Account_ID],tblAccounts[Include],FALSE),FALSE),SUMIFS(tblAcctSummary[Income_Other_Base],tblAcctSummary[Account_ID],A100),0))</f>
        <v/>
      </c>
      <c r="J100" s="5">
        <f>IF(A100="","",SUM(G100:I100))</f>
        <v/>
      </c>
      <c r="K100" s="5">
        <f>IF(A100="","",IF(IFERROR(XLOOKUP(A100,tblAccounts[Account_ID],tblAccounts[Include],FALSE),FALSE),SUMIFS(tblAcctSummary[Realized_GL_Base],tblAcctSummary[Account_ID],A100),0))</f>
        <v/>
      </c>
      <c r="L100" s="5">
        <f>IF(A100="","",IF(IFERROR(XLOOKUP(A100,tblAccounts[Account_ID],tblAccounts[Include],FALSE),FALSE),SUMIFS(tblAcctSummary[Fees_Base],tblAcctSummary[Account_ID],A100),0))</f>
        <v/>
      </c>
      <c r="M100" s="5">
        <f>IF(A100="","",IF(IFERROR(XLOOKUP(A100,tblAccounts[Account_ID],tblAccounts[Include],FALSE),FALSE),SUMIFS(tblAcctSummary[Taxes_Base],tblAcctSummary[Account_ID],A100),0))</f>
        <v/>
      </c>
      <c r="N100" s="5">
        <f>IF(A100="","",IF(IFERROR(XLOOKUP(A100,tblAccounts[Account_ID],tblAccounts[Include],FALSE),FALSE),IFERROR(SUMPRODUCT(tblAcctSummary[Return_Period],tblAcctSummary[Begin_Balance_Base],--(tblAcctSummary[Account_ID]=A100))/IF(SUMIFS(tblAcctSummary[Begin_Balance_Base],tblAcctSummary[Account_ID],A100)=0,NA(),SUMIFS(tblAcctSummary[Begin_Balance_Base],tblAcctSummary[Account_ID],A100)),0),0))</f>
        <v/>
      </c>
    </row>
    <row r="101">
      <c r="A101" s="5">
        <f>IFERROR(INDEX(tblAccounts[Account_ID],98),"")</f>
        <v/>
      </c>
      <c r="B101" s="5">
        <f>IF(A101="","",IFERROR(XLOOKUP(A101,tblAccounts[Account_ID],tblAccounts[Account_Name],""),""))</f>
        <v/>
      </c>
      <c r="C101" s="5">
        <f>IF(A101="","",IFERROR(XLOOKUP(A101,tblAccounts[Account_ID],tblAccounts[Household_ID],""),""))</f>
        <v/>
      </c>
      <c r="D101" s="5">
        <f>IF(A101="","",IF(IFERROR(XLOOKUP(A101,tblAccounts[Account_ID],tblAccounts[Include],FALSE),FALSE),SUMIFS(tblAcctSummary[Begin_Balance_Base],tblAcctSummary[Account_ID],A101),0))</f>
        <v/>
      </c>
      <c r="E101" s="5">
        <f>IF(A101="","",IF(IFERROR(XLOOKUP(A101,tblAccounts[Account_ID],tblAccounts[Include],FALSE),FALSE),SUMIFS(tblAcctSummary[End_Balance_Base],tblAcctSummary[Account_ID],A101),0))</f>
        <v/>
      </c>
      <c r="F101" s="5">
        <f>IF(A101="","",IF(IFERROR(XLOOKUP(A101,tblAccounts[Account_ID],tblAccounts[Include],FALSE),FALSE),SUMIFS(tblAcctSummary[Net_Contrib_Base],tblAcctSummary[Account_ID],A101),0))</f>
        <v/>
      </c>
      <c r="G101" s="5">
        <f>IF(A101="","",IF(IFERROR(XLOOKUP(A101,tblAccounts[Account_ID],tblAccounts[Include],FALSE),FALSE),SUMIFS(tblAcctSummary[Income_Interest_Base],tblAcctSummary[Account_ID],A101),0))</f>
        <v/>
      </c>
      <c r="H101" s="5">
        <f>IF(A101="","",IF(IFERROR(XLOOKUP(A101,tblAccounts[Account_ID],tblAccounts[Include],FALSE),FALSE),SUMIFS(tblAcctSummary[Income_Dividends_Base],tblAcctSummary[Account_ID],A101),0))</f>
        <v/>
      </c>
      <c r="I101" s="5">
        <f>IF(A101="","",IF(IFERROR(XLOOKUP(A101,tblAccounts[Account_ID],tblAccounts[Include],FALSE),FALSE),SUMIFS(tblAcctSummary[Income_Other_Base],tblAcctSummary[Account_ID],A101),0))</f>
        <v/>
      </c>
      <c r="J101" s="5">
        <f>IF(A101="","",SUM(G101:I101))</f>
        <v/>
      </c>
      <c r="K101" s="5">
        <f>IF(A101="","",IF(IFERROR(XLOOKUP(A101,tblAccounts[Account_ID],tblAccounts[Include],FALSE),FALSE),SUMIFS(tblAcctSummary[Realized_GL_Base],tblAcctSummary[Account_ID],A101),0))</f>
        <v/>
      </c>
      <c r="L101" s="5">
        <f>IF(A101="","",IF(IFERROR(XLOOKUP(A101,tblAccounts[Account_ID],tblAccounts[Include],FALSE),FALSE),SUMIFS(tblAcctSummary[Fees_Base],tblAcctSummary[Account_ID],A101),0))</f>
        <v/>
      </c>
      <c r="M101" s="5">
        <f>IF(A101="","",IF(IFERROR(XLOOKUP(A101,tblAccounts[Account_ID],tblAccounts[Include],FALSE),FALSE),SUMIFS(tblAcctSummary[Taxes_Base],tblAcctSummary[Account_ID],A101),0))</f>
        <v/>
      </c>
      <c r="N101" s="5">
        <f>IF(A101="","",IF(IFERROR(XLOOKUP(A101,tblAccounts[Account_ID],tblAccounts[Include],FALSE),FALSE),IFERROR(SUMPRODUCT(tblAcctSummary[Return_Period],tblAcctSummary[Begin_Balance_Base],--(tblAcctSummary[Account_ID]=A101))/IF(SUMIFS(tblAcctSummary[Begin_Balance_Base],tblAcctSummary[Account_ID],A101)=0,NA(),SUMIFS(tblAcctSummary[Begin_Balance_Base],tblAcctSummary[Account_ID],A101)),0),0))</f>
        <v/>
      </c>
    </row>
    <row r="102">
      <c r="A102" s="5">
        <f>IFERROR(INDEX(tblAccounts[Account_ID],99),"")</f>
        <v/>
      </c>
      <c r="B102" s="5">
        <f>IF(A102="","",IFERROR(XLOOKUP(A102,tblAccounts[Account_ID],tblAccounts[Account_Name],""),""))</f>
        <v/>
      </c>
      <c r="C102" s="5">
        <f>IF(A102="","",IFERROR(XLOOKUP(A102,tblAccounts[Account_ID],tblAccounts[Household_ID],""),""))</f>
        <v/>
      </c>
      <c r="D102" s="5">
        <f>IF(A102="","",IF(IFERROR(XLOOKUP(A102,tblAccounts[Account_ID],tblAccounts[Include],FALSE),FALSE),SUMIFS(tblAcctSummary[Begin_Balance_Base],tblAcctSummary[Account_ID],A102),0))</f>
        <v/>
      </c>
      <c r="E102" s="5">
        <f>IF(A102="","",IF(IFERROR(XLOOKUP(A102,tblAccounts[Account_ID],tblAccounts[Include],FALSE),FALSE),SUMIFS(tblAcctSummary[End_Balance_Base],tblAcctSummary[Account_ID],A102),0))</f>
        <v/>
      </c>
      <c r="F102" s="5">
        <f>IF(A102="","",IF(IFERROR(XLOOKUP(A102,tblAccounts[Account_ID],tblAccounts[Include],FALSE),FALSE),SUMIFS(tblAcctSummary[Net_Contrib_Base],tblAcctSummary[Account_ID],A102),0))</f>
        <v/>
      </c>
      <c r="G102" s="5">
        <f>IF(A102="","",IF(IFERROR(XLOOKUP(A102,tblAccounts[Account_ID],tblAccounts[Include],FALSE),FALSE),SUMIFS(tblAcctSummary[Income_Interest_Base],tblAcctSummary[Account_ID],A102),0))</f>
        <v/>
      </c>
      <c r="H102" s="5">
        <f>IF(A102="","",IF(IFERROR(XLOOKUP(A102,tblAccounts[Account_ID],tblAccounts[Include],FALSE),FALSE),SUMIFS(tblAcctSummary[Income_Dividends_Base],tblAcctSummary[Account_ID],A102),0))</f>
        <v/>
      </c>
      <c r="I102" s="5">
        <f>IF(A102="","",IF(IFERROR(XLOOKUP(A102,tblAccounts[Account_ID],tblAccounts[Include],FALSE),FALSE),SUMIFS(tblAcctSummary[Income_Other_Base],tblAcctSummary[Account_ID],A102),0))</f>
        <v/>
      </c>
      <c r="J102" s="5">
        <f>IF(A102="","",SUM(G102:I102))</f>
        <v/>
      </c>
      <c r="K102" s="5">
        <f>IF(A102="","",IF(IFERROR(XLOOKUP(A102,tblAccounts[Account_ID],tblAccounts[Include],FALSE),FALSE),SUMIFS(tblAcctSummary[Realized_GL_Base],tblAcctSummary[Account_ID],A102),0))</f>
        <v/>
      </c>
      <c r="L102" s="5">
        <f>IF(A102="","",IF(IFERROR(XLOOKUP(A102,tblAccounts[Account_ID],tblAccounts[Include],FALSE),FALSE),SUMIFS(tblAcctSummary[Fees_Base],tblAcctSummary[Account_ID],A102),0))</f>
        <v/>
      </c>
      <c r="M102" s="5">
        <f>IF(A102="","",IF(IFERROR(XLOOKUP(A102,tblAccounts[Account_ID],tblAccounts[Include],FALSE),FALSE),SUMIFS(tblAcctSummary[Taxes_Base],tblAcctSummary[Account_ID],A102),0))</f>
        <v/>
      </c>
      <c r="N102" s="5">
        <f>IF(A102="","",IF(IFERROR(XLOOKUP(A102,tblAccounts[Account_ID],tblAccounts[Include],FALSE),FALSE),IFERROR(SUMPRODUCT(tblAcctSummary[Return_Period],tblAcctSummary[Begin_Balance_Base],--(tblAcctSummary[Account_ID]=A102))/IF(SUMIFS(tblAcctSummary[Begin_Balance_Base],tblAcctSummary[Account_ID],A102)=0,NA(),SUMIFS(tblAcctSummary[Begin_Balance_Base],tblAcctSummary[Account_ID],A102)),0),0))</f>
        <v/>
      </c>
    </row>
    <row r="103">
      <c r="A103" s="5">
        <f>IFERROR(INDEX(tblAccounts[Account_ID],100),"")</f>
        <v/>
      </c>
      <c r="B103" s="5">
        <f>IF(A103="","",IFERROR(XLOOKUP(A103,tblAccounts[Account_ID],tblAccounts[Account_Name],""),""))</f>
        <v/>
      </c>
      <c r="C103" s="5">
        <f>IF(A103="","",IFERROR(XLOOKUP(A103,tblAccounts[Account_ID],tblAccounts[Household_ID],""),""))</f>
        <v/>
      </c>
      <c r="D103" s="5">
        <f>IF(A103="","",IF(IFERROR(XLOOKUP(A103,tblAccounts[Account_ID],tblAccounts[Include],FALSE),FALSE),SUMIFS(tblAcctSummary[Begin_Balance_Base],tblAcctSummary[Account_ID],A103),0))</f>
        <v/>
      </c>
      <c r="E103" s="5">
        <f>IF(A103="","",IF(IFERROR(XLOOKUP(A103,tblAccounts[Account_ID],tblAccounts[Include],FALSE),FALSE),SUMIFS(tblAcctSummary[End_Balance_Base],tblAcctSummary[Account_ID],A103),0))</f>
        <v/>
      </c>
      <c r="F103" s="5">
        <f>IF(A103="","",IF(IFERROR(XLOOKUP(A103,tblAccounts[Account_ID],tblAccounts[Include],FALSE),FALSE),SUMIFS(tblAcctSummary[Net_Contrib_Base],tblAcctSummary[Account_ID],A103),0))</f>
        <v/>
      </c>
      <c r="G103" s="5">
        <f>IF(A103="","",IF(IFERROR(XLOOKUP(A103,tblAccounts[Account_ID],tblAccounts[Include],FALSE),FALSE),SUMIFS(tblAcctSummary[Income_Interest_Base],tblAcctSummary[Account_ID],A103),0))</f>
        <v/>
      </c>
      <c r="H103" s="5">
        <f>IF(A103="","",IF(IFERROR(XLOOKUP(A103,tblAccounts[Account_ID],tblAccounts[Include],FALSE),FALSE),SUMIFS(tblAcctSummary[Income_Dividends_Base],tblAcctSummary[Account_ID],A103),0))</f>
        <v/>
      </c>
      <c r="I103" s="5">
        <f>IF(A103="","",IF(IFERROR(XLOOKUP(A103,tblAccounts[Account_ID],tblAccounts[Include],FALSE),FALSE),SUMIFS(tblAcctSummary[Income_Other_Base],tblAcctSummary[Account_ID],A103),0))</f>
        <v/>
      </c>
      <c r="J103" s="5">
        <f>IF(A103="","",SUM(G103:I103))</f>
        <v/>
      </c>
      <c r="K103" s="5">
        <f>IF(A103="","",IF(IFERROR(XLOOKUP(A103,tblAccounts[Account_ID],tblAccounts[Include],FALSE),FALSE),SUMIFS(tblAcctSummary[Realized_GL_Base],tblAcctSummary[Account_ID],A103),0))</f>
        <v/>
      </c>
      <c r="L103" s="5">
        <f>IF(A103="","",IF(IFERROR(XLOOKUP(A103,tblAccounts[Account_ID],tblAccounts[Include],FALSE),FALSE),SUMIFS(tblAcctSummary[Fees_Base],tblAcctSummary[Account_ID],A103),0))</f>
        <v/>
      </c>
      <c r="M103" s="5">
        <f>IF(A103="","",IF(IFERROR(XLOOKUP(A103,tblAccounts[Account_ID],tblAccounts[Include],FALSE),FALSE),SUMIFS(tblAcctSummary[Taxes_Base],tblAcctSummary[Account_ID],A103),0))</f>
        <v/>
      </c>
      <c r="N103" s="5">
        <f>IF(A103="","",IF(IFERROR(XLOOKUP(A103,tblAccounts[Account_ID],tblAccounts[Include],FALSE),FALSE),IFERROR(SUMPRODUCT(tblAcctSummary[Return_Period],tblAcctSummary[Begin_Balance_Base],--(tblAcctSummary[Account_ID]=A103))/IF(SUMIFS(tblAcctSummary[Begin_Balance_Base],tblAcctSummary[Account_ID],A103)=0,NA(),SUMIFS(tblAcctSummary[Begin_Balance_Base],tblAcctSummary[Account_ID],A103)),0),0))</f>
        <v/>
      </c>
    </row>
    <row r="104">
      <c r="A104" s="5">
        <f>IFERROR(INDEX(tblAccounts[Account_ID],101),"")</f>
        <v/>
      </c>
      <c r="B104" s="5">
        <f>IF(A104="","",IFERROR(XLOOKUP(A104,tblAccounts[Account_ID],tblAccounts[Account_Name],""),""))</f>
        <v/>
      </c>
      <c r="C104" s="5">
        <f>IF(A104="","",IFERROR(XLOOKUP(A104,tblAccounts[Account_ID],tblAccounts[Household_ID],""),""))</f>
        <v/>
      </c>
      <c r="D104" s="5">
        <f>IF(A104="","",IF(IFERROR(XLOOKUP(A104,tblAccounts[Account_ID],tblAccounts[Include],FALSE),FALSE),SUMIFS(tblAcctSummary[Begin_Balance_Base],tblAcctSummary[Account_ID],A104),0))</f>
        <v/>
      </c>
      <c r="E104" s="5">
        <f>IF(A104="","",IF(IFERROR(XLOOKUP(A104,tblAccounts[Account_ID],tblAccounts[Include],FALSE),FALSE),SUMIFS(tblAcctSummary[End_Balance_Base],tblAcctSummary[Account_ID],A104),0))</f>
        <v/>
      </c>
      <c r="F104" s="5">
        <f>IF(A104="","",IF(IFERROR(XLOOKUP(A104,tblAccounts[Account_ID],tblAccounts[Include],FALSE),FALSE),SUMIFS(tblAcctSummary[Net_Contrib_Base],tblAcctSummary[Account_ID],A104),0))</f>
        <v/>
      </c>
      <c r="G104" s="5">
        <f>IF(A104="","",IF(IFERROR(XLOOKUP(A104,tblAccounts[Account_ID],tblAccounts[Include],FALSE),FALSE),SUMIFS(tblAcctSummary[Income_Interest_Base],tblAcctSummary[Account_ID],A104),0))</f>
        <v/>
      </c>
      <c r="H104" s="5">
        <f>IF(A104="","",IF(IFERROR(XLOOKUP(A104,tblAccounts[Account_ID],tblAccounts[Include],FALSE),FALSE),SUMIFS(tblAcctSummary[Income_Dividends_Base],tblAcctSummary[Account_ID],A104),0))</f>
        <v/>
      </c>
      <c r="I104" s="5">
        <f>IF(A104="","",IF(IFERROR(XLOOKUP(A104,tblAccounts[Account_ID],tblAccounts[Include],FALSE),FALSE),SUMIFS(tblAcctSummary[Income_Other_Base],tblAcctSummary[Account_ID],A104),0))</f>
        <v/>
      </c>
      <c r="J104" s="5">
        <f>IF(A104="","",SUM(G104:I104))</f>
        <v/>
      </c>
      <c r="K104" s="5">
        <f>IF(A104="","",IF(IFERROR(XLOOKUP(A104,tblAccounts[Account_ID],tblAccounts[Include],FALSE),FALSE),SUMIFS(tblAcctSummary[Realized_GL_Base],tblAcctSummary[Account_ID],A104),0))</f>
        <v/>
      </c>
      <c r="L104" s="5">
        <f>IF(A104="","",IF(IFERROR(XLOOKUP(A104,tblAccounts[Account_ID],tblAccounts[Include],FALSE),FALSE),SUMIFS(tblAcctSummary[Fees_Base],tblAcctSummary[Account_ID],A104),0))</f>
        <v/>
      </c>
      <c r="M104" s="5">
        <f>IF(A104="","",IF(IFERROR(XLOOKUP(A104,tblAccounts[Account_ID],tblAccounts[Include],FALSE),FALSE),SUMIFS(tblAcctSummary[Taxes_Base],tblAcctSummary[Account_ID],A104),0))</f>
        <v/>
      </c>
      <c r="N104" s="5">
        <f>IF(A104="","",IF(IFERROR(XLOOKUP(A104,tblAccounts[Account_ID],tblAccounts[Include],FALSE),FALSE),IFERROR(SUMPRODUCT(tblAcctSummary[Return_Period],tblAcctSummary[Begin_Balance_Base],--(tblAcctSummary[Account_ID]=A104))/IF(SUMIFS(tblAcctSummary[Begin_Balance_Base],tblAcctSummary[Account_ID],A104)=0,NA(),SUMIFS(tblAcctSummary[Begin_Balance_Base],tblAcctSummary[Account_ID],A104)),0),0))</f>
        <v/>
      </c>
    </row>
    <row r="105">
      <c r="A105" s="5">
        <f>IFERROR(INDEX(tblAccounts[Account_ID],102),"")</f>
        <v/>
      </c>
      <c r="B105" s="5">
        <f>IF(A105="","",IFERROR(XLOOKUP(A105,tblAccounts[Account_ID],tblAccounts[Account_Name],""),""))</f>
        <v/>
      </c>
      <c r="C105" s="5">
        <f>IF(A105="","",IFERROR(XLOOKUP(A105,tblAccounts[Account_ID],tblAccounts[Household_ID],""),""))</f>
        <v/>
      </c>
      <c r="D105" s="5">
        <f>IF(A105="","",IF(IFERROR(XLOOKUP(A105,tblAccounts[Account_ID],tblAccounts[Include],FALSE),FALSE),SUMIFS(tblAcctSummary[Begin_Balance_Base],tblAcctSummary[Account_ID],A105),0))</f>
        <v/>
      </c>
      <c r="E105" s="5">
        <f>IF(A105="","",IF(IFERROR(XLOOKUP(A105,tblAccounts[Account_ID],tblAccounts[Include],FALSE),FALSE),SUMIFS(tblAcctSummary[End_Balance_Base],tblAcctSummary[Account_ID],A105),0))</f>
        <v/>
      </c>
      <c r="F105" s="5">
        <f>IF(A105="","",IF(IFERROR(XLOOKUP(A105,tblAccounts[Account_ID],tblAccounts[Include],FALSE),FALSE),SUMIFS(tblAcctSummary[Net_Contrib_Base],tblAcctSummary[Account_ID],A105),0))</f>
        <v/>
      </c>
      <c r="G105" s="5">
        <f>IF(A105="","",IF(IFERROR(XLOOKUP(A105,tblAccounts[Account_ID],tblAccounts[Include],FALSE),FALSE),SUMIFS(tblAcctSummary[Income_Interest_Base],tblAcctSummary[Account_ID],A105),0))</f>
        <v/>
      </c>
      <c r="H105" s="5">
        <f>IF(A105="","",IF(IFERROR(XLOOKUP(A105,tblAccounts[Account_ID],tblAccounts[Include],FALSE),FALSE),SUMIFS(tblAcctSummary[Income_Dividends_Base],tblAcctSummary[Account_ID],A105),0))</f>
        <v/>
      </c>
      <c r="I105" s="5">
        <f>IF(A105="","",IF(IFERROR(XLOOKUP(A105,tblAccounts[Account_ID],tblAccounts[Include],FALSE),FALSE),SUMIFS(tblAcctSummary[Income_Other_Base],tblAcctSummary[Account_ID],A105),0))</f>
        <v/>
      </c>
      <c r="J105" s="5">
        <f>IF(A105="","",SUM(G105:I105))</f>
        <v/>
      </c>
      <c r="K105" s="5">
        <f>IF(A105="","",IF(IFERROR(XLOOKUP(A105,tblAccounts[Account_ID],tblAccounts[Include],FALSE),FALSE),SUMIFS(tblAcctSummary[Realized_GL_Base],tblAcctSummary[Account_ID],A105),0))</f>
        <v/>
      </c>
      <c r="L105" s="5">
        <f>IF(A105="","",IF(IFERROR(XLOOKUP(A105,tblAccounts[Account_ID],tblAccounts[Include],FALSE),FALSE),SUMIFS(tblAcctSummary[Fees_Base],tblAcctSummary[Account_ID],A105),0))</f>
        <v/>
      </c>
      <c r="M105" s="5">
        <f>IF(A105="","",IF(IFERROR(XLOOKUP(A105,tblAccounts[Account_ID],tblAccounts[Include],FALSE),FALSE),SUMIFS(tblAcctSummary[Taxes_Base],tblAcctSummary[Account_ID],A105),0))</f>
        <v/>
      </c>
      <c r="N105" s="5">
        <f>IF(A105="","",IF(IFERROR(XLOOKUP(A105,tblAccounts[Account_ID],tblAccounts[Include],FALSE),FALSE),IFERROR(SUMPRODUCT(tblAcctSummary[Return_Period],tblAcctSummary[Begin_Balance_Base],--(tblAcctSummary[Account_ID]=A105))/IF(SUMIFS(tblAcctSummary[Begin_Balance_Base],tblAcctSummary[Account_ID],A105)=0,NA(),SUMIFS(tblAcctSummary[Begin_Balance_Base],tblAcctSummary[Account_ID],A105)),0),0))</f>
        <v/>
      </c>
    </row>
    <row r="106">
      <c r="A106" s="5">
        <f>IFERROR(INDEX(tblAccounts[Account_ID],103),"")</f>
        <v/>
      </c>
      <c r="B106" s="5">
        <f>IF(A106="","",IFERROR(XLOOKUP(A106,tblAccounts[Account_ID],tblAccounts[Account_Name],""),""))</f>
        <v/>
      </c>
      <c r="C106" s="5">
        <f>IF(A106="","",IFERROR(XLOOKUP(A106,tblAccounts[Account_ID],tblAccounts[Household_ID],""),""))</f>
        <v/>
      </c>
      <c r="D106" s="5">
        <f>IF(A106="","",IF(IFERROR(XLOOKUP(A106,tblAccounts[Account_ID],tblAccounts[Include],FALSE),FALSE),SUMIFS(tblAcctSummary[Begin_Balance_Base],tblAcctSummary[Account_ID],A106),0))</f>
        <v/>
      </c>
      <c r="E106" s="5">
        <f>IF(A106="","",IF(IFERROR(XLOOKUP(A106,tblAccounts[Account_ID],tblAccounts[Include],FALSE),FALSE),SUMIFS(tblAcctSummary[End_Balance_Base],tblAcctSummary[Account_ID],A106),0))</f>
        <v/>
      </c>
      <c r="F106" s="5">
        <f>IF(A106="","",IF(IFERROR(XLOOKUP(A106,tblAccounts[Account_ID],tblAccounts[Include],FALSE),FALSE),SUMIFS(tblAcctSummary[Net_Contrib_Base],tblAcctSummary[Account_ID],A106),0))</f>
        <v/>
      </c>
      <c r="G106" s="5">
        <f>IF(A106="","",IF(IFERROR(XLOOKUP(A106,tblAccounts[Account_ID],tblAccounts[Include],FALSE),FALSE),SUMIFS(tblAcctSummary[Income_Interest_Base],tblAcctSummary[Account_ID],A106),0))</f>
        <v/>
      </c>
      <c r="H106" s="5">
        <f>IF(A106="","",IF(IFERROR(XLOOKUP(A106,tblAccounts[Account_ID],tblAccounts[Include],FALSE),FALSE),SUMIFS(tblAcctSummary[Income_Dividends_Base],tblAcctSummary[Account_ID],A106),0))</f>
        <v/>
      </c>
      <c r="I106" s="5">
        <f>IF(A106="","",IF(IFERROR(XLOOKUP(A106,tblAccounts[Account_ID],tblAccounts[Include],FALSE),FALSE),SUMIFS(tblAcctSummary[Income_Other_Base],tblAcctSummary[Account_ID],A106),0))</f>
        <v/>
      </c>
      <c r="J106" s="5">
        <f>IF(A106="","",SUM(G106:I106))</f>
        <v/>
      </c>
      <c r="K106" s="5">
        <f>IF(A106="","",IF(IFERROR(XLOOKUP(A106,tblAccounts[Account_ID],tblAccounts[Include],FALSE),FALSE),SUMIFS(tblAcctSummary[Realized_GL_Base],tblAcctSummary[Account_ID],A106),0))</f>
        <v/>
      </c>
      <c r="L106" s="5">
        <f>IF(A106="","",IF(IFERROR(XLOOKUP(A106,tblAccounts[Account_ID],tblAccounts[Include],FALSE),FALSE),SUMIFS(tblAcctSummary[Fees_Base],tblAcctSummary[Account_ID],A106),0))</f>
        <v/>
      </c>
      <c r="M106" s="5">
        <f>IF(A106="","",IF(IFERROR(XLOOKUP(A106,tblAccounts[Account_ID],tblAccounts[Include],FALSE),FALSE),SUMIFS(tblAcctSummary[Taxes_Base],tblAcctSummary[Account_ID],A106),0))</f>
        <v/>
      </c>
      <c r="N106" s="5">
        <f>IF(A106="","",IF(IFERROR(XLOOKUP(A106,tblAccounts[Account_ID],tblAccounts[Include],FALSE),FALSE),IFERROR(SUMPRODUCT(tblAcctSummary[Return_Period],tblAcctSummary[Begin_Balance_Base],--(tblAcctSummary[Account_ID]=A106))/IF(SUMIFS(tblAcctSummary[Begin_Balance_Base],tblAcctSummary[Account_ID],A106)=0,NA(),SUMIFS(tblAcctSummary[Begin_Balance_Base],tblAcctSummary[Account_ID],A106)),0),0))</f>
        <v/>
      </c>
    </row>
    <row r="107">
      <c r="A107" s="5">
        <f>IFERROR(INDEX(tblAccounts[Account_ID],104),"")</f>
        <v/>
      </c>
      <c r="B107" s="5">
        <f>IF(A107="","",IFERROR(XLOOKUP(A107,tblAccounts[Account_ID],tblAccounts[Account_Name],""),""))</f>
        <v/>
      </c>
      <c r="C107" s="5">
        <f>IF(A107="","",IFERROR(XLOOKUP(A107,tblAccounts[Account_ID],tblAccounts[Household_ID],""),""))</f>
        <v/>
      </c>
      <c r="D107" s="5">
        <f>IF(A107="","",IF(IFERROR(XLOOKUP(A107,tblAccounts[Account_ID],tblAccounts[Include],FALSE),FALSE),SUMIFS(tblAcctSummary[Begin_Balance_Base],tblAcctSummary[Account_ID],A107),0))</f>
        <v/>
      </c>
      <c r="E107" s="5">
        <f>IF(A107="","",IF(IFERROR(XLOOKUP(A107,tblAccounts[Account_ID],tblAccounts[Include],FALSE),FALSE),SUMIFS(tblAcctSummary[End_Balance_Base],tblAcctSummary[Account_ID],A107),0))</f>
        <v/>
      </c>
      <c r="F107" s="5">
        <f>IF(A107="","",IF(IFERROR(XLOOKUP(A107,tblAccounts[Account_ID],tblAccounts[Include],FALSE),FALSE),SUMIFS(tblAcctSummary[Net_Contrib_Base],tblAcctSummary[Account_ID],A107),0))</f>
        <v/>
      </c>
      <c r="G107" s="5">
        <f>IF(A107="","",IF(IFERROR(XLOOKUP(A107,tblAccounts[Account_ID],tblAccounts[Include],FALSE),FALSE),SUMIFS(tblAcctSummary[Income_Interest_Base],tblAcctSummary[Account_ID],A107),0))</f>
        <v/>
      </c>
      <c r="H107" s="5">
        <f>IF(A107="","",IF(IFERROR(XLOOKUP(A107,tblAccounts[Account_ID],tblAccounts[Include],FALSE),FALSE),SUMIFS(tblAcctSummary[Income_Dividends_Base],tblAcctSummary[Account_ID],A107),0))</f>
        <v/>
      </c>
      <c r="I107" s="5">
        <f>IF(A107="","",IF(IFERROR(XLOOKUP(A107,tblAccounts[Account_ID],tblAccounts[Include],FALSE),FALSE),SUMIFS(tblAcctSummary[Income_Other_Base],tblAcctSummary[Account_ID],A107),0))</f>
        <v/>
      </c>
      <c r="J107" s="5">
        <f>IF(A107="","",SUM(G107:I107))</f>
        <v/>
      </c>
      <c r="K107" s="5">
        <f>IF(A107="","",IF(IFERROR(XLOOKUP(A107,tblAccounts[Account_ID],tblAccounts[Include],FALSE),FALSE),SUMIFS(tblAcctSummary[Realized_GL_Base],tblAcctSummary[Account_ID],A107),0))</f>
        <v/>
      </c>
      <c r="L107" s="5">
        <f>IF(A107="","",IF(IFERROR(XLOOKUP(A107,tblAccounts[Account_ID],tblAccounts[Include],FALSE),FALSE),SUMIFS(tblAcctSummary[Fees_Base],tblAcctSummary[Account_ID],A107),0))</f>
        <v/>
      </c>
      <c r="M107" s="5">
        <f>IF(A107="","",IF(IFERROR(XLOOKUP(A107,tblAccounts[Account_ID],tblAccounts[Include],FALSE),FALSE),SUMIFS(tblAcctSummary[Taxes_Base],tblAcctSummary[Account_ID],A107),0))</f>
        <v/>
      </c>
      <c r="N107" s="5">
        <f>IF(A107="","",IF(IFERROR(XLOOKUP(A107,tblAccounts[Account_ID],tblAccounts[Include],FALSE),FALSE),IFERROR(SUMPRODUCT(tblAcctSummary[Return_Period],tblAcctSummary[Begin_Balance_Base],--(tblAcctSummary[Account_ID]=A107))/IF(SUMIFS(tblAcctSummary[Begin_Balance_Base],tblAcctSummary[Account_ID],A107)=0,NA(),SUMIFS(tblAcctSummary[Begin_Balance_Base],tblAcctSummary[Account_ID],A107)),0),0))</f>
        <v/>
      </c>
    </row>
    <row r="108">
      <c r="A108" s="5">
        <f>IFERROR(INDEX(tblAccounts[Account_ID],105),"")</f>
        <v/>
      </c>
      <c r="B108" s="5">
        <f>IF(A108="","",IFERROR(XLOOKUP(A108,tblAccounts[Account_ID],tblAccounts[Account_Name],""),""))</f>
        <v/>
      </c>
      <c r="C108" s="5">
        <f>IF(A108="","",IFERROR(XLOOKUP(A108,tblAccounts[Account_ID],tblAccounts[Household_ID],""),""))</f>
        <v/>
      </c>
      <c r="D108" s="5">
        <f>IF(A108="","",IF(IFERROR(XLOOKUP(A108,tblAccounts[Account_ID],tblAccounts[Include],FALSE),FALSE),SUMIFS(tblAcctSummary[Begin_Balance_Base],tblAcctSummary[Account_ID],A108),0))</f>
        <v/>
      </c>
      <c r="E108" s="5">
        <f>IF(A108="","",IF(IFERROR(XLOOKUP(A108,tblAccounts[Account_ID],tblAccounts[Include],FALSE),FALSE),SUMIFS(tblAcctSummary[End_Balance_Base],tblAcctSummary[Account_ID],A108),0))</f>
        <v/>
      </c>
      <c r="F108" s="5">
        <f>IF(A108="","",IF(IFERROR(XLOOKUP(A108,tblAccounts[Account_ID],tblAccounts[Include],FALSE),FALSE),SUMIFS(tblAcctSummary[Net_Contrib_Base],tblAcctSummary[Account_ID],A108),0))</f>
        <v/>
      </c>
      <c r="G108" s="5">
        <f>IF(A108="","",IF(IFERROR(XLOOKUP(A108,tblAccounts[Account_ID],tblAccounts[Include],FALSE),FALSE),SUMIFS(tblAcctSummary[Income_Interest_Base],tblAcctSummary[Account_ID],A108),0))</f>
        <v/>
      </c>
      <c r="H108" s="5">
        <f>IF(A108="","",IF(IFERROR(XLOOKUP(A108,tblAccounts[Account_ID],tblAccounts[Include],FALSE),FALSE),SUMIFS(tblAcctSummary[Income_Dividends_Base],tblAcctSummary[Account_ID],A108),0))</f>
        <v/>
      </c>
      <c r="I108" s="5">
        <f>IF(A108="","",IF(IFERROR(XLOOKUP(A108,tblAccounts[Account_ID],tblAccounts[Include],FALSE),FALSE),SUMIFS(tblAcctSummary[Income_Other_Base],tblAcctSummary[Account_ID],A108),0))</f>
        <v/>
      </c>
      <c r="J108" s="5">
        <f>IF(A108="","",SUM(G108:I108))</f>
        <v/>
      </c>
      <c r="K108" s="5">
        <f>IF(A108="","",IF(IFERROR(XLOOKUP(A108,tblAccounts[Account_ID],tblAccounts[Include],FALSE),FALSE),SUMIFS(tblAcctSummary[Realized_GL_Base],tblAcctSummary[Account_ID],A108),0))</f>
        <v/>
      </c>
      <c r="L108" s="5">
        <f>IF(A108="","",IF(IFERROR(XLOOKUP(A108,tblAccounts[Account_ID],tblAccounts[Include],FALSE),FALSE),SUMIFS(tblAcctSummary[Fees_Base],tblAcctSummary[Account_ID],A108),0))</f>
        <v/>
      </c>
      <c r="M108" s="5">
        <f>IF(A108="","",IF(IFERROR(XLOOKUP(A108,tblAccounts[Account_ID],tblAccounts[Include],FALSE),FALSE),SUMIFS(tblAcctSummary[Taxes_Base],tblAcctSummary[Account_ID],A108),0))</f>
        <v/>
      </c>
      <c r="N108" s="5">
        <f>IF(A108="","",IF(IFERROR(XLOOKUP(A108,tblAccounts[Account_ID],tblAccounts[Include],FALSE),FALSE),IFERROR(SUMPRODUCT(tblAcctSummary[Return_Period],tblAcctSummary[Begin_Balance_Base],--(tblAcctSummary[Account_ID]=A108))/IF(SUMIFS(tblAcctSummary[Begin_Balance_Base],tblAcctSummary[Account_ID],A108)=0,NA(),SUMIFS(tblAcctSummary[Begin_Balance_Base],tblAcctSummary[Account_ID],A108)),0),0))</f>
        <v/>
      </c>
    </row>
    <row r="109">
      <c r="A109" s="5">
        <f>IFERROR(INDEX(tblAccounts[Account_ID],106),"")</f>
        <v/>
      </c>
      <c r="B109" s="5">
        <f>IF(A109="","",IFERROR(XLOOKUP(A109,tblAccounts[Account_ID],tblAccounts[Account_Name],""),""))</f>
        <v/>
      </c>
      <c r="C109" s="5">
        <f>IF(A109="","",IFERROR(XLOOKUP(A109,tblAccounts[Account_ID],tblAccounts[Household_ID],""),""))</f>
        <v/>
      </c>
      <c r="D109" s="5">
        <f>IF(A109="","",IF(IFERROR(XLOOKUP(A109,tblAccounts[Account_ID],tblAccounts[Include],FALSE),FALSE),SUMIFS(tblAcctSummary[Begin_Balance_Base],tblAcctSummary[Account_ID],A109),0))</f>
        <v/>
      </c>
      <c r="E109" s="5">
        <f>IF(A109="","",IF(IFERROR(XLOOKUP(A109,tblAccounts[Account_ID],tblAccounts[Include],FALSE),FALSE),SUMIFS(tblAcctSummary[End_Balance_Base],tblAcctSummary[Account_ID],A109),0))</f>
        <v/>
      </c>
      <c r="F109" s="5">
        <f>IF(A109="","",IF(IFERROR(XLOOKUP(A109,tblAccounts[Account_ID],tblAccounts[Include],FALSE),FALSE),SUMIFS(tblAcctSummary[Net_Contrib_Base],tblAcctSummary[Account_ID],A109),0))</f>
        <v/>
      </c>
      <c r="G109" s="5">
        <f>IF(A109="","",IF(IFERROR(XLOOKUP(A109,tblAccounts[Account_ID],tblAccounts[Include],FALSE),FALSE),SUMIFS(tblAcctSummary[Income_Interest_Base],tblAcctSummary[Account_ID],A109),0))</f>
        <v/>
      </c>
      <c r="H109" s="5">
        <f>IF(A109="","",IF(IFERROR(XLOOKUP(A109,tblAccounts[Account_ID],tblAccounts[Include],FALSE),FALSE),SUMIFS(tblAcctSummary[Income_Dividends_Base],tblAcctSummary[Account_ID],A109),0))</f>
        <v/>
      </c>
      <c r="I109" s="5">
        <f>IF(A109="","",IF(IFERROR(XLOOKUP(A109,tblAccounts[Account_ID],tblAccounts[Include],FALSE),FALSE),SUMIFS(tblAcctSummary[Income_Other_Base],tblAcctSummary[Account_ID],A109),0))</f>
        <v/>
      </c>
      <c r="J109" s="5">
        <f>IF(A109="","",SUM(G109:I109))</f>
        <v/>
      </c>
      <c r="K109" s="5">
        <f>IF(A109="","",IF(IFERROR(XLOOKUP(A109,tblAccounts[Account_ID],tblAccounts[Include],FALSE),FALSE),SUMIFS(tblAcctSummary[Realized_GL_Base],tblAcctSummary[Account_ID],A109),0))</f>
        <v/>
      </c>
      <c r="L109" s="5">
        <f>IF(A109="","",IF(IFERROR(XLOOKUP(A109,tblAccounts[Account_ID],tblAccounts[Include],FALSE),FALSE),SUMIFS(tblAcctSummary[Fees_Base],tblAcctSummary[Account_ID],A109),0))</f>
        <v/>
      </c>
      <c r="M109" s="5">
        <f>IF(A109="","",IF(IFERROR(XLOOKUP(A109,tblAccounts[Account_ID],tblAccounts[Include],FALSE),FALSE),SUMIFS(tblAcctSummary[Taxes_Base],tblAcctSummary[Account_ID],A109),0))</f>
        <v/>
      </c>
      <c r="N109" s="5">
        <f>IF(A109="","",IF(IFERROR(XLOOKUP(A109,tblAccounts[Account_ID],tblAccounts[Include],FALSE),FALSE),IFERROR(SUMPRODUCT(tblAcctSummary[Return_Period],tblAcctSummary[Begin_Balance_Base],--(tblAcctSummary[Account_ID]=A109))/IF(SUMIFS(tblAcctSummary[Begin_Balance_Base],tblAcctSummary[Account_ID],A109)=0,NA(),SUMIFS(tblAcctSummary[Begin_Balance_Base],tblAcctSummary[Account_ID],A109)),0),0))</f>
        <v/>
      </c>
    </row>
    <row r="110">
      <c r="A110" s="5">
        <f>IFERROR(INDEX(tblAccounts[Account_ID],107),"")</f>
        <v/>
      </c>
      <c r="B110" s="5">
        <f>IF(A110="","",IFERROR(XLOOKUP(A110,tblAccounts[Account_ID],tblAccounts[Account_Name],""),""))</f>
        <v/>
      </c>
      <c r="C110" s="5">
        <f>IF(A110="","",IFERROR(XLOOKUP(A110,tblAccounts[Account_ID],tblAccounts[Household_ID],""),""))</f>
        <v/>
      </c>
      <c r="D110" s="5">
        <f>IF(A110="","",IF(IFERROR(XLOOKUP(A110,tblAccounts[Account_ID],tblAccounts[Include],FALSE),FALSE),SUMIFS(tblAcctSummary[Begin_Balance_Base],tblAcctSummary[Account_ID],A110),0))</f>
        <v/>
      </c>
      <c r="E110" s="5">
        <f>IF(A110="","",IF(IFERROR(XLOOKUP(A110,tblAccounts[Account_ID],tblAccounts[Include],FALSE),FALSE),SUMIFS(tblAcctSummary[End_Balance_Base],tblAcctSummary[Account_ID],A110),0))</f>
        <v/>
      </c>
      <c r="F110" s="5">
        <f>IF(A110="","",IF(IFERROR(XLOOKUP(A110,tblAccounts[Account_ID],tblAccounts[Include],FALSE),FALSE),SUMIFS(tblAcctSummary[Net_Contrib_Base],tblAcctSummary[Account_ID],A110),0))</f>
        <v/>
      </c>
      <c r="G110" s="5">
        <f>IF(A110="","",IF(IFERROR(XLOOKUP(A110,tblAccounts[Account_ID],tblAccounts[Include],FALSE),FALSE),SUMIFS(tblAcctSummary[Income_Interest_Base],tblAcctSummary[Account_ID],A110),0))</f>
        <v/>
      </c>
      <c r="H110" s="5">
        <f>IF(A110="","",IF(IFERROR(XLOOKUP(A110,tblAccounts[Account_ID],tblAccounts[Include],FALSE),FALSE),SUMIFS(tblAcctSummary[Income_Dividends_Base],tblAcctSummary[Account_ID],A110),0))</f>
        <v/>
      </c>
      <c r="I110" s="5">
        <f>IF(A110="","",IF(IFERROR(XLOOKUP(A110,tblAccounts[Account_ID],tblAccounts[Include],FALSE),FALSE),SUMIFS(tblAcctSummary[Income_Other_Base],tblAcctSummary[Account_ID],A110),0))</f>
        <v/>
      </c>
      <c r="J110" s="5">
        <f>IF(A110="","",SUM(G110:I110))</f>
        <v/>
      </c>
      <c r="K110" s="5">
        <f>IF(A110="","",IF(IFERROR(XLOOKUP(A110,tblAccounts[Account_ID],tblAccounts[Include],FALSE),FALSE),SUMIFS(tblAcctSummary[Realized_GL_Base],tblAcctSummary[Account_ID],A110),0))</f>
        <v/>
      </c>
      <c r="L110" s="5">
        <f>IF(A110="","",IF(IFERROR(XLOOKUP(A110,tblAccounts[Account_ID],tblAccounts[Include],FALSE),FALSE),SUMIFS(tblAcctSummary[Fees_Base],tblAcctSummary[Account_ID],A110),0))</f>
        <v/>
      </c>
      <c r="M110" s="5">
        <f>IF(A110="","",IF(IFERROR(XLOOKUP(A110,tblAccounts[Account_ID],tblAccounts[Include],FALSE),FALSE),SUMIFS(tblAcctSummary[Taxes_Base],tblAcctSummary[Account_ID],A110),0))</f>
        <v/>
      </c>
      <c r="N110" s="5">
        <f>IF(A110="","",IF(IFERROR(XLOOKUP(A110,tblAccounts[Account_ID],tblAccounts[Include],FALSE),FALSE),IFERROR(SUMPRODUCT(tblAcctSummary[Return_Period],tblAcctSummary[Begin_Balance_Base],--(tblAcctSummary[Account_ID]=A110))/IF(SUMIFS(tblAcctSummary[Begin_Balance_Base],tblAcctSummary[Account_ID],A110)=0,NA(),SUMIFS(tblAcctSummary[Begin_Balance_Base],tblAcctSummary[Account_ID],A110)),0),0))</f>
        <v/>
      </c>
    </row>
    <row r="111">
      <c r="A111" s="5">
        <f>IFERROR(INDEX(tblAccounts[Account_ID],108),"")</f>
        <v/>
      </c>
      <c r="B111" s="5">
        <f>IF(A111="","",IFERROR(XLOOKUP(A111,tblAccounts[Account_ID],tblAccounts[Account_Name],""),""))</f>
        <v/>
      </c>
      <c r="C111" s="5">
        <f>IF(A111="","",IFERROR(XLOOKUP(A111,tblAccounts[Account_ID],tblAccounts[Household_ID],""),""))</f>
        <v/>
      </c>
      <c r="D111" s="5">
        <f>IF(A111="","",IF(IFERROR(XLOOKUP(A111,tblAccounts[Account_ID],tblAccounts[Include],FALSE),FALSE),SUMIFS(tblAcctSummary[Begin_Balance_Base],tblAcctSummary[Account_ID],A111),0))</f>
        <v/>
      </c>
      <c r="E111" s="5">
        <f>IF(A111="","",IF(IFERROR(XLOOKUP(A111,tblAccounts[Account_ID],tblAccounts[Include],FALSE),FALSE),SUMIFS(tblAcctSummary[End_Balance_Base],tblAcctSummary[Account_ID],A111),0))</f>
        <v/>
      </c>
      <c r="F111" s="5">
        <f>IF(A111="","",IF(IFERROR(XLOOKUP(A111,tblAccounts[Account_ID],tblAccounts[Include],FALSE),FALSE),SUMIFS(tblAcctSummary[Net_Contrib_Base],tblAcctSummary[Account_ID],A111),0))</f>
        <v/>
      </c>
      <c r="G111" s="5">
        <f>IF(A111="","",IF(IFERROR(XLOOKUP(A111,tblAccounts[Account_ID],tblAccounts[Include],FALSE),FALSE),SUMIFS(tblAcctSummary[Income_Interest_Base],tblAcctSummary[Account_ID],A111),0))</f>
        <v/>
      </c>
      <c r="H111" s="5">
        <f>IF(A111="","",IF(IFERROR(XLOOKUP(A111,tblAccounts[Account_ID],tblAccounts[Include],FALSE),FALSE),SUMIFS(tblAcctSummary[Income_Dividends_Base],tblAcctSummary[Account_ID],A111),0))</f>
        <v/>
      </c>
      <c r="I111" s="5">
        <f>IF(A111="","",IF(IFERROR(XLOOKUP(A111,tblAccounts[Account_ID],tblAccounts[Include],FALSE),FALSE),SUMIFS(tblAcctSummary[Income_Other_Base],tblAcctSummary[Account_ID],A111),0))</f>
        <v/>
      </c>
      <c r="J111" s="5">
        <f>IF(A111="","",SUM(G111:I111))</f>
        <v/>
      </c>
      <c r="K111" s="5">
        <f>IF(A111="","",IF(IFERROR(XLOOKUP(A111,tblAccounts[Account_ID],tblAccounts[Include],FALSE),FALSE),SUMIFS(tblAcctSummary[Realized_GL_Base],tblAcctSummary[Account_ID],A111),0))</f>
        <v/>
      </c>
      <c r="L111" s="5">
        <f>IF(A111="","",IF(IFERROR(XLOOKUP(A111,tblAccounts[Account_ID],tblAccounts[Include],FALSE),FALSE),SUMIFS(tblAcctSummary[Fees_Base],tblAcctSummary[Account_ID],A111),0))</f>
        <v/>
      </c>
      <c r="M111" s="5">
        <f>IF(A111="","",IF(IFERROR(XLOOKUP(A111,tblAccounts[Account_ID],tblAccounts[Include],FALSE),FALSE),SUMIFS(tblAcctSummary[Taxes_Base],tblAcctSummary[Account_ID],A111),0))</f>
        <v/>
      </c>
      <c r="N111" s="5">
        <f>IF(A111="","",IF(IFERROR(XLOOKUP(A111,tblAccounts[Account_ID],tblAccounts[Include],FALSE),FALSE),IFERROR(SUMPRODUCT(tblAcctSummary[Return_Period],tblAcctSummary[Begin_Balance_Base],--(tblAcctSummary[Account_ID]=A111))/IF(SUMIFS(tblAcctSummary[Begin_Balance_Base],tblAcctSummary[Account_ID],A111)=0,NA(),SUMIFS(tblAcctSummary[Begin_Balance_Base],tblAcctSummary[Account_ID],A111)),0),0))</f>
        <v/>
      </c>
    </row>
    <row r="112">
      <c r="A112" s="5">
        <f>IFERROR(INDEX(tblAccounts[Account_ID],109),"")</f>
        <v/>
      </c>
      <c r="B112" s="5">
        <f>IF(A112="","",IFERROR(XLOOKUP(A112,tblAccounts[Account_ID],tblAccounts[Account_Name],""),""))</f>
        <v/>
      </c>
      <c r="C112" s="5">
        <f>IF(A112="","",IFERROR(XLOOKUP(A112,tblAccounts[Account_ID],tblAccounts[Household_ID],""),""))</f>
        <v/>
      </c>
      <c r="D112" s="5">
        <f>IF(A112="","",IF(IFERROR(XLOOKUP(A112,tblAccounts[Account_ID],tblAccounts[Include],FALSE),FALSE),SUMIFS(tblAcctSummary[Begin_Balance_Base],tblAcctSummary[Account_ID],A112),0))</f>
        <v/>
      </c>
      <c r="E112" s="5">
        <f>IF(A112="","",IF(IFERROR(XLOOKUP(A112,tblAccounts[Account_ID],tblAccounts[Include],FALSE),FALSE),SUMIFS(tblAcctSummary[End_Balance_Base],tblAcctSummary[Account_ID],A112),0))</f>
        <v/>
      </c>
      <c r="F112" s="5">
        <f>IF(A112="","",IF(IFERROR(XLOOKUP(A112,tblAccounts[Account_ID],tblAccounts[Include],FALSE),FALSE),SUMIFS(tblAcctSummary[Net_Contrib_Base],tblAcctSummary[Account_ID],A112),0))</f>
        <v/>
      </c>
      <c r="G112" s="5">
        <f>IF(A112="","",IF(IFERROR(XLOOKUP(A112,tblAccounts[Account_ID],tblAccounts[Include],FALSE),FALSE),SUMIFS(tblAcctSummary[Income_Interest_Base],tblAcctSummary[Account_ID],A112),0))</f>
        <v/>
      </c>
      <c r="H112" s="5">
        <f>IF(A112="","",IF(IFERROR(XLOOKUP(A112,tblAccounts[Account_ID],tblAccounts[Include],FALSE),FALSE),SUMIFS(tblAcctSummary[Income_Dividends_Base],tblAcctSummary[Account_ID],A112),0))</f>
        <v/>
      </c>
      <c r="I112" s="5">
        <f>IF(A112="","",IF(IFERROR(XLOOKUP(A112,tblAccounts[Account_ID],tblAccounts[Include],FALSE),FALSE),SUMIFS(tblAcctSummary[Income_Other_Base],tblAcctSummary[Account_ID],A112),0))</f>
        <v/>
      </c>
      <c r="J112" s="5">
        <f>IF(A112="","",SUM(G112:I112))</f>
        <v/>
      </c>
      <c r="K112" s="5">
        <f>IF(A112="","",IF(IFERROR(XLOOKUP(A112,tblAccounts[Account_ID],tblAccounts[Include],FALSE),FALSE),SUMIFS(tblAcctSummary[Realized_GL_Base],tblAcctSummary[Account_ID],A112),0))</f>
        <v/>
      </c>
      <c r="L112" s="5">
        <f>IF(A112="","",IF(IFERROR(XLOOKUP(A112,tblAccounts[Account_ID],tblAccounts[Include],FALSE),FALSE),SUMIFS(tblAcctSummary[Fees_Base],tblAcctSummary[Account_ID],A112),0))</f>
        <v/>
      </c>
      <c r="M112" s="5">
        <f>IF(A112="","",IF(IFERROR(XLOOKUP(A112,tblAccounts[Account_ID],tblAccounts[Include],FALSE),FALSE),SUMIFS(tblAcctSummary[Taxes_Base],tblAcctSummary[Account_ID],A112),0))</f>
        <v/>
      </c>
      <c r="N112" s="5">
        <f>IF(A112="","",IF(IFERROR(XLOOKUP(A112,tblAccounts[Account_ID],tblAccounts[Include],FALSE),FALSE),IFERROR(SUMPRODUCT(tblAcctSummary[Return_Period],tblAcctSummary[Begin_Balance_Base],--(tblAcctSummary[Account_ID]=A112))/IF(SUMIFS(tblAcctSummary[Begin_Balance_Base],tblAcctSummary[Account_ID],A112)=0,NA(),SUMIFS(tblAcctSummary[Begin_Balance_Base],tblAcctSummary[Account_ID],A112)),0),0))</f>
        <v/>
      </c>
    </row>
    <row r="113">
      <c r="A113" s="5">
        <f>IFERROR(INDEX(tblAccounts[Account_ID],110),"")</f>
        <v/>
      </c>
      <c r="B113" s="5">
        <f>IF(A113="","",IFERROR(XLOOKUP(A113,tblAccounts[Account_ID],tblAccounts[Account_Name],""),""))</f>
        <v/>
      </c>
      <c r="C113" s="5">
        <f>IF(A113="","",IFERROR(XLOOKUP(A113,tblAccounts[Account_ID],tblAccounts[Household_ID],""),""))</f>
        <v/>
      </c>
      <c r="D113" s="5">
        <f>IF(A113="","",IF(IFERROR(XLOOKUP(A113,tblAccounts[Account_ID],tblAccounts[Include],FALSE),FALSE),SUMIFS(tblAcctSummary[Begin_Balance_Base],tblAcctSummary[Account_ID],A113),0))</f>
        <v/>
      </c>
      <c r="E113" s="5">
        <f>IF(A113="","",IF(IFERROR(XLOOKUP(A113,tblAccounts[Account_ID],tblAccounts[Include],FALSE),FALSE),SUMIFS(tblAcctSummary[End_Balance_Base],tblAcctSummary[Account_ID],A113),0))</f>
        <v/>
      </c>
      <c r="F113" s="5">
        <f>IF(A113="","",IF(IFERROR(XLOOKUP(A113,tblAccounts[Account_ID],tblAccounts[Include],FALSE),FALSE),SUMIFS(tblAcctSummary[Net_Contrib_Base],tblAcctSummary[Account_ID],A113),0))</f>
        <v/>
      </c>
      <c r="G113" s="5">
        <f>IF(A113="","",IF(IFERROR(XLOOKUP(A113,tblAccounts[Account_ID],tblAccounts[Include],FALSE),FALSE),SUMIFS(tblAcctSummary[Income_Interest_Base],tblAcctSummary[Account_ID],A113),0))</f>
        <v/>
      </c>
      <c r="H113" s="5">
        <f>IF(A113="","",IF(IFERROR(XLOOKUP(A113,tblAccounts[Account_ID],tblAccounts[Include],FALSE),FALSE),SUMIFS(tblAcctSummary[Income_Dividends_Base],tblAcctSummary[Account_ID],A113),0))</f>
        <v/>
      </c>
      <c r="I113" s="5">
        <f>IF(A113="","",IF(IFERROR(XLOOKUP(A113,tblAccounts[Account_ID],tblAccounts[Include],FALSE),FALSE),SUMIFS(tblAcctSummary[Income_Other_Base],tblAcctSummary[Account_ID],A113),0))</f>
        <v/>
      </c>
      <c r="J113" s="5">
        <f>IF(A113="","",SUM(G113:I113))</f>
        <v/>
      </c>
      <c r="K113" s="5">
        <f>IF(A113="","",IF(IFERROR(XLOOKUP(A113,tblAccounts[Account_ID],tblAccounts[Include],FALSE),FALSE),SUMIFS(tblAcctSummary[Realized_GL_Base],tblAcctSummary[Account_ID],A113),0))</f>
        <v/>
      </c>
      <c r="L113" s="5">
        <f>IF(A113="","",IF(IFERROR(XLOOKUP(A113,tblAccounts[Account_ID],tblAccounts[Include],FALSE),FALSE),SUMIFS(tblAcctSummary[Fees_Base],tblAcctSummary[Account_ID],A113),0))</f>
        <v/>
      </c>
      <c r="M113" s="5">
        <f>IF(A113="","",IF(IFERROR(XLOOKUP(A113,tblAccounts[Account_ID],tblAccounts[Include],FALSE),FALSE),SUMIFS(tblAcctSummary[Taxes_Base],tblAcctSummary[Account_ID],A113),0))</f>
        <v/>
      </c>
      <c r="N113" s="5">
        <f>IF(A113="","",IF(IFERROR(XLOOKUP(A113,tblAccounts[Account_ID],tblAccounts[Include],FALSE),FALSE),IFERROR(SUMPRODUCT(tblAcctSummary[Return_Period],tblAcctSummary[Begin_Balance_Base],--(tblAcctSummary[Account_ID]=A113))/IF(SUMIFS(tblAcctSummary[Begin_Balance_Base],tblAcctSummary[Account_ID],A113)=0,NA(),SUMIFS(tblAcctSummary[Begin_Balance_Base],tblAcctSummary[Account_ID],A113)),0),0))</f>
        <v/>
      </c>
    </row>
    <row r="114">
      <c r="A114" s="5">
        <f>IFERROR(INDEX(tblAccounts[Account_ID],111),"")</f>
        <v/>
      </c>
      <c r="B114" s="5">
        <f>IF(A114="","",IFERROR(XLOOKUP(A114,tblAccounts[Account_ID],tblAccounts[Account_Name],""),""))</f>
        <v/>
      </c>
      <c r="C114" s="5">
        <f>IF(A114="","",IFERROR(XLOOKUP(A114,tblAccounts[Account_ID],tblAccounts[Household_ID],""),""))</f>
        <v/>
      </c>
      <c r="D114" s="5">
        <f>IF(A114="","",IF(IFERROR(XLOOKUP(A114,tblAccounts[Account_ID],tblAccounts[Include],FALSE),FALSE),SUMIFS(tblAcctSummary[Begin_Balance_Base],tblAcctSummary[Account_ID],A114),0))</f>
        <v/>
      </c>
      <c r="E114" s="5">
        <f>IF(A114="","",IF(IFERROR(XLOOKUP(A114,tblAccounts[Account_ID],tblAccounts[Include],FALSE),FALSE),SUMIFS(tblAcctSummary[End_Balance_Base],tblAcctSummary[Account_ID],A114),0))</f>
        <v/>
      </c>
      <c r="F114" s="5">
        <f>IF(A114="","",IF(IFERROR(XLOOKUP(A114,tblAccounts[Account_ID],tblAccounts[Include],FALSE),FALSE),SUMIFS(tblAcctSummary[Net_Contrib_Base],tblAcctSummary[Account_ID],A114),0))</f>
        <v/>
      </c>
      <c r="G114" s="5">
        <f>IF(A114="","",IF(IFERROR(XLOOKUP(A114,tblAccounts[Account_ID],tblAccounts[Include],FALSE),FALSE),SUMIFS(tblAcctSummary[Income_Interest_Base],tblAcctSummary[Account_ID],A114),0))</f>
        <v/>
      </c>
      <c r="H114" s="5">
        <f>IF(A114="","",IF(IFERROR(XLOOKUP(A114,tblAccounts[Account_ID],tblAccounts[Include],FALSE),FALSE),SUMIFS(tblAcctSummary[Income_Dividends_Base],tblAcctSummary[Account_ID],A114),0))</f>
        <v/>
      </c>
      <c r="I114" s="5">
        <f>IF(A114="","",IF(IFERROR(XLOOKUP(A114,tblAccounts[Account_ID],tblAccounts[Include],FALSE),FALSE),SUMIFS(tblAcctSummary[Income_Other_Base],tblAcctSummary[Account_ID],A114),0))</f>
        <v/>
      </c>
      <c r="J114" s="5">
        <f>IF(A114="","",SUM(G114:I114))</f>
        <v/>
      </c>
      <c r="K114" s="5">
        <f>IF(A114="","",IF(IFERROR(XLOOKUP(A114,tblAccounts[Account_ID],tblAccounts[Include],FALSE),FALSE),SUMIFS(tblAcctSummary[Realized_GL_Base],tblAcctSummary[Account_ID],A114),0))</f>
        <v/>
      </c>
      <c r="L114" s="5">
        <f>IF(A114="","",IF(IFERROR(XLOOKUP(A114,tblAccounts[Account_ID],tblAccounts[Include],FALSE),FALSE),SUMIFS(tblAcctSummary[Fees_Base],tblAcctSummary[Account_ID],A114),0))</f>
        <v/>
      </c>
      <c r="M114" s="5">
        <f>IF(A114="","",IF(IFERROR(XLOOKUP(A114,tblAccounts[Account_ID],tblAccounts[Include],FALSE),FALSE),SUMIFS(tblAcctSummary[Taxes_Base],tblAcctSummary[Account_ID],A114),0))</f>
        <v/>
      </c>
      <c r="N114" s="5">
        <f>IF(A114="","",IF(IFERROR(XLOOKUP(A114,tblAccounts[Account_ID],tblAccounts[Include],FALSE),FALSE),IFERROR(SUMPRODUCT(tblAcctSummary[Return_Period],tblAcctSummary[Begin_Balance_Base],--(tblAcctSummary[Account_ID]=A114))/IF(SUMIFS(tblAcctSummary[Begin_Balance_Base],tblAcctSummary[Account_ID],A114)=0,NA(),SUMIFS(tblAcctSummary[Begin_Balance_Base],tblAcctSummary[Account_ID],A114)),0),0))</f>
        <v/>
      </c>
    </row>
    <row r="115">
      <c r="A115" s="5">
        <f>IFERROR(INDEX(tblAccounts[Account_ID],112),"")</f>
        <v/>
      </c>
      <c r="B115" s="5">
        <f>IF(A115="","",IFERROR(XLOOKUP(A115,tblAccounts[Account_ID],tblAccounts[Account_Name],""),""))</f>
        <v/>
      </c>
      <c r="C115" s="5">
        <f>IF(A115="","",IFERROR(XLOOKUP(A115,tblAccounts[Account_ID],tblAccounts[Household_ID],""),""))</f>
        <v/>
      </c>
      <c r="D115" s="5">
        <f>IF(A115="","",IF(IFERROR(XLOOKUP(A115,tblAccounts[Account_ID],tblAccounts[Include],FALSE),FALSE),SUMIFS(tblAcctSummary[Begin_Balance_Base],tblAcctSummary[Account_ID],A115),0))</f>
        <v/>
      </c>
      <c r="E115" s="5">
        <f>IF(A115="","",IF(IFERROR(XLOOKUP(A115,tblAccounts[Account_ID],tblAccounts[Include],FALSE),FALSE),SUMIFS(tblAcctSummary[End_Balance_Base],tblAcctSummary[Account_ID],A115),0))</f>
        <v/>
      </c>
      <c r="F115" s="5">
        <f>IF(A115="","",IF(IFERROR(XLOOKUP(A115,tblAccounts[Account_ID],tblAccounts[Include],FALSE),FALSE),SUMIFS(tblAcctSummary[Net_Contrib_Base],tblAcctSummary[Account_ID],A115),0))</f>
        <v/>
      </c>
      <c r="G115" s="5">
        <f>IF(A115="","",IF(IFERROR(XLOOKUP(A115,tblAccounts[Account_ID],tblAccounts[Include],FALSE),FALSE),SUMIFS(tblAcctSummary[Income_Interest_Base],tblAcctSummary[Account_ID],A115),0))</f>
        <v/>
      </c>
      <c r="H115" s="5">
        <f>IF(A115="","",IF(IFERROR(XLOOKUP(A115,tblAccounts[Account_ID],tblAccounts[Include],FALSE),FALSE),SUMIFS(tblAcctSummary[Income_Dividends_Base],tblAcctSummary[Account_ID],A115),0))</f>
        <v/>
      </c>
      <c r="I115" s="5">
        <f>IF(A115="","",IF(IFERROR(XLOOKUP(A115,tblAccounts[Account_ID],tblAccounts[Include],FALSE),FALSE),SUMIFS(tblAcctSummary[Income_Other_Base],tblAcctSummary[Account_ID],A115),0))</f>
        <v/>
      </c>
      <c r="J115" s="5">
        <f>IF(A115="","",SUM(G115:I115))</f>
        <v/>
      </c>
      <c r="K115" s="5">
        <f>IF(A115="","",IF(IFERROR(XLOOKUP(A115,tblAccounts[Account_ID],tblAccounts[Include],FALSE),FALSE),SUMIFS(tblAcctSummary[Realized_GL_Base],tblAcctSummary[Account_ID],A115),0))</f>
        <v/>
      </c>
      <c r="L115" s="5">
        <f>IF(A115="","",IF(IFERROR(XLOOKUP(A115,tblAccounts[Account_ID],tblAccounts[Include],FALSE),FALSE),SUMIFS(tblAcctSummary[Fees_Base],tblAcctSummary[Account_ID],A115),0))</f>
        <v/>
      </c>
      <c r="M115" s="5">
        <f>IF(A115="","",IF(IFERROR(XLOOKUP(A115,tblAccounts[Account_ID],tblAccounts[Include],FALSE),FALSE),SUMIFS(tblAcctSummary[Taxes_Base],tblAcctSummary[Account_ID],A115),0))</f>
        <v/>
      </c>
      <c r="N115" s="5">
        <f>IF(A115="","",IF(IFERROR(XLOOKUP(A115,tblAccounts[Account_ID],tblAccounts[Include],FALSE),FALSE),IFERROR(SUMPRODUCT(tblAcctSummary[Return_Period],tblAcctSummary[Begin_Balance_Base],--(tblAcctSummary[Account_ID]=A115))/IF(SUMIFS(tblAcctSummary[Begin_Balance_Base],tblAcctSummary[Account_ID],A115)=0,NA(),SUMIFS(tblAcctSummary[Begin_Balance_Base],tblAcctSummary[Account_ID],A115)),0),0))</f>
        <v/>
      </c>
    </row>
    <row r="116">
      <c r="A116" s="5">
        <f>IFERROR(INDEX(tblAccounts[Account_ID],113),"")</f>
        <v/>
      </c>
      <c r="B116" s="5">
        <f>IF(A116="","",IFERROR(XLOOKUP(A116,tblAccounts[Account_ID],tblAccounts[Account_Name],""),""))</f>
        <v/>
      </c>
      <c r="C116" s="5">
        <f>IF(A116="","",IFERROR(XLOOKUP(A116,tblAccounts[Account_ID],tblAccounts[Household_ID],""),""))</f>
        <v/>
      </c>
      <c r="D116" s="5">
        <f>IF(A116="","",IF(IFERROR(XLOOKUP(A116,tblAccounts[Account_ID],tblAccounts[Include],FALSE),FALSE),SUMIFS(tblAcctSummary[Begin_Balance_Base],tblAcctSummary[Account_ID],A116),0))</f>
        <v/>
      </c>
      <c r="E116" s="5">
        <f>IF(A116="","",IF(IFERROR(XLOOKUP(A116,tblAccounts[Account_ID],tblAccounts[Include],FALSE),FALSE),SUMIFS(tblAcctSummary[End_Balance_Base],tblAcctSummary[Account_ID],A116),0))</f>
        <v/>
      </c>
      <c r="F116" s="5">
        <f>IF(A116="","",IF(IFERROR(XLOOKUP(A116,tblAccounts[Account_ID],tblAccounts[Include],FALSE),FALSE),SUMIFS(tblAcctSummary[Net_Contrib_Base],tblAcctSummary[Account_ID],A116),0))</f>
        <v/>
      </c>
      <c r="G116" s="5">
        <f>IF(A116="","",IF(IFERROR(XLOOKUP(A116,tblAccounts[Account_ID],tblAccounts[Include],FALSE),FALSE),SUMIFS(tblAcctSummary[Income_Interest_Base],tblAcctSummary[Account_ID],A116),0))</f>
        <v/>
      </c>
      <c r="H116" s="5">
        <f>IF(A116="","",IF(IFERROR(XLOOKUP(A116,tblAccounts[Account_ID],tblAccounts[Include],FALSE),FALSE),SUMIFS(tblAcctSummary[Income_Dividends_Base],tblAcctSummary[Account_ID],A116),0))</f>
        <v/>
      </c>
      <c r="I116" s="5">
        <f>IF(A116="","",IF(IFERROR(XLOOKUP(A116,tblAccounts[Account_ID],tblAccounts[Include],FALSE),FALSE),SUMIFS(tblAcctSummary[Income_Other_Base],tblAcctSummary[Account_ID],A116),0))</f>
        <v/>
      </c>
      <c r="J116" s="5">
        <f>IF(A116="","",SUM(G116:I116))</f>
        <v/>
      </c>
      <c r="K116" s="5">
        <f>IF(A116="","",IF(IFERROR(XLOOKUP(A116,tblAccounts[Account_ID],tblAccounts[Include],FALSE),FALSE),SUMIFS(tblAcctSummary[Realized_GL_Base],tblAcctSummary[Account_ID],A116),0))</f>
        <v/>
      </c>
      <c r="L116" s="5">
        <f>IF(A116="","",IF(IFERROR(XLOOKUP(A116,tblAccounts[Account_ID],tblAccounts[Include],FALSE),FALSE),SUMIFS(tblAcctSummary[Fees_Base],tblAcctSummary[Account_ID],A116),0))</f>
        <v/>
      </c>
      <c r="M116" s="5">
        <f>IF(A116="","",IF(IFERROR(XLOOKUP(A116,tblAccounts[Account_ID],tblAccounts[Include],FALSE),FALSE),SUMIFS(tblAcctSummary[Taxes_Base],tblAcctSummary[Account_ID],A116),0))</f>
        <v/>
      </c>
      <c r="N116" s="5">
        <f>IF(A116="","",IF(IFERROR(XLOOKUP(A116,tblAccounts[Account_ID],tblAccounts[Include],FALSE),FALSE),IFERROR(SUMPRODUCT(tblAcctSummary[Return_Period],tblAcctSummary[Begin_Balance_Base],--(tblAcctSummary[Account_ID]=A116))/IF(SUMIFS(tblAcctSummary[Begin_Balance_Base],tblAcctSummary[Account_ID],A116)=0,NA(),SUMIFS(tblAcctSummary[Begin_Balance_Base],tblAcctSummary[Account_ID],A116)),0),0))</f>
        <v/>
      </c>
    </row>
    <row r="117">
      <c r="A117" s="5">
        <f>IFERROR(INDEX(tblAccounts[Account_ID],114),"")</f>
        <v/>
      </c>
      <c r="B117" s="5">
        <f>IF(A117="","",IFERROR(XLOOKUP(A117,tblAccounts[Account_ID],tblAccounts[Account_Name],""),""))</f>
        <v/>
      </c>
      <c r="C117" s="5">
        <f>IF(A117="","",IFERROR(XLOOKUP(A117,tblAccounts[Account_ID],tblAccounts[Household_ID],""),""))</f>
        <v/>
      </c>
      <c r="D117" s="5">
        <f>IF(A117="","",IF(IFERROR(XLOOKUP(A117,tblAccounts[Account_ID],tblAccounts[Include],FALSE),FALSE),SUMIFS(tblAcctSummary[Begin_Balance_Base],tblAcctSummary[Account_ID],A117),0))</f>
        <v/>
      </c>
      <c r="E117" s="5">
        <f>IF(A117="","",IF(IFERROR(XLOOKUP(A117,tblAccounts[Account_ID],tblAccounts[Include],FALSE),FALSE),SUMIFS(tblAcctSummary[End_Balance_Base],tblAcctSummary[Account_ID],A117),0))</f>
        <v/>
      </c>
      <c r="F117" s="5">
        <f>IF(A117="","",IF(IFERROR(XLOOKUP(A117,tblAccounts[Account_ID],tblAccounts[Include],FALSE),FALSE),SUMIFS(tblAcctSummary[Net_Contrib_Base],tblAcctSummary[Account_ID],A117),0))</f>
        <v/>
      </c>
      <c r="G117" s="5">
        <f>IF(A117="","",IF(IFERROR(XLOOKUP(A117,tblAccounts[Account_ID],tblAccounts[Include],FALSE),FALSE),SUMIFS(tblAcctSummary[Income_Interest_Base],tblAcctSummary[Account_ID],A117),0))</f>
        <v/>
      </c>
      <c r="H117" s="5">
        <f>IF(A117="","",IF(IFERROR(XLOOKUP(A117,tblAccounts[Account_ID],tblAccounts[Include],FALSE),FALSE),SUMIFS(tblAcctSummary[Income_Dividends_Base],tblAcctSummary[Account_ID],A117),0))</f>
        <v/>
      </c>
      <c r="I117" s="5">
        <f>IF(A117="","",IF(IFERROR(XLOOKUP(A117,tblAccounts[Account_ID],tblAccounts[Include],FALSE),FALSE),SUMIFS(tblAcctSummary[Income_Other_Base],tblAcctSummary[Account_ID],A117),0))</f>
        <v/>
      </c>
      <c r="J117" s="5">
        <f>IF(A117="","",SUM(G117:I117))</f>
        <v/>
      </c>
      <c r="K117" s="5">
        <f>IF(A117="","",IF(IFERROR(XLOOKUP(A117,tblAccounts[Account_ID],tblAccounts[Include],FALSE),FALSE),SUMIFS(tblAcctSummary[Realized_GL_Base],tblAcctSummary[Account_ID],A117),0))</f>
        <v/>
      </c>
      <c r="L117" s="5">
        <f>IF(A117="","",IF(IFERROR(XLOOKUP(A117,tblAccounts[Account_ID],tblAccounts[Include],FALSE),FALSE),SUMIFS(tblAcctSummary[Fees_Base],tblAcctSummary[Account_ID],A117),0))</f>
        <v/>
      </c>
      <c r="M117" s="5">
        <f>IF(A117="","",IF(IFERROR(XLOOKUP(A117,tblAccounts[Account_ID],tblAccounts[Include],FALSE),FALSE),SUMIFS(tblAcctSummary[Taxes_Base],tblAcctSummary[Account_ID],A117),0))</f>
        <v/>
      </c>
      <c r="N117" s="5">
        <f>IF(A117="","",IF(IFERROR(XLOOKUP(A117,tblAccounts[Account_ID],tblAccounts[Include],FALSE),FALSE),IFERROR(SUMPRODUCT(tblAcctSummary[Return_Period],tblAcctSummary[Begin_Balance_Base],--(tblAcctSummary[Account_ID]=A117))/IF(SUMIFS(tblAcctSummary[Begin_Balance_Base],tblAcctSummary[Account_ID],A117)=0,NA(),SUMIFS(tblAcctSummary[Begin_Balance_Base],tblAcctSummary[Account_ID],A117)),0),0))</f>
        <v/>
      </c>
    </row>
    <row r="118">
      <c r="A118" s="5">
        <f>IFERROR(INDEX(tblAccounts[Account_ID],115),"")</f>
        <v/>
      </c>
      <c r="B118" s="5">
        <f>IF(A118="","",IFERROR(XLOOKUP(A118,tblAccounts[Account_ID],tblAccounts[Account_Name],""),""))</f>
        <v/>
      </c>
      <c r="C118" s="5">
        <f>IF(A118="","",IFERROR(XLOOKUP(A118,tblAccounts[Account_ID],tblAccounts[Household_ID],""),""))</f>
        <v/>
      </c>
      <c r="D118" s="5">
        <f>IF(A118="","",IF(IFERROR(XLOOKUP(A118,tblAccounts[Account_ID],tblAccounts[Include],FALSE),FALSE),SUMIFS(tblAcctSummary[Begin_Balance_Base],tblAcctSummary[Account_ID],A118),0))</f>
        <v/>
      </c>
      <c r="E118" s="5">
        <f>IF(A118="","",IF(IFERROR(XLOOKUP(A118,tblAccounts[Account_ID],tblAccounts[Include],FALSE),FALSE),SUMIFS(tblAcctSummary[End_Balance_Base],tblAcctSummary[Account_ID],A118),0))</f>
        <v/>
      </c>
      <c r="F118" s="5">
        <f>IF(A118="","",IF(IFERROR(XLOOKUP(A118,tblAccounts[Account_ID],tblAccounts[Include],FALSE),FALSE),SUMIFS(tblAcctSummary[Net_Contrib_Base],tblAcctSummary[Account_ID],A118),0))</f>
        <v/>
      </c>
      <c r="G118" s="5">
        <f>IF(A118="","",IF(IFERROR(XLOOKUP(A118,tblAccounts[Account_ID],tblAccounts[Include],FALSE),FALSE),SUMIFS(tblAcctSummary[Income_Interest_Base],tblAcctSummary[Account_ID],A118),0))</f>
        <v/>
      </c>
      <c r="H118" s="5">
        <f>IF(A118="","",IF(IFERROR(XLOOKUP(A118,tblAccounts[Account_ID],tblAccounts[Include],FALSE),FALSE),SUMIFS(tblAcctSummary[Income_Dividends_Base],tblAcctSummary[Account_ID],A118),0))</f>
        <v/>
      </c>
      <c r="I118" s="5">
        <f>IF(A118="","",IF(IFERROR(XLOOKUP(A118,tblAccounts[Account_ID],tblAccounts[Include],FALSE),FALSE),SUMIFS(tblAcctSummary[Income_Other_Base],tblAcctSummary[Account_ID],A118),0))</f>
        <v/>
      </c>
      <c r="J118" s="5">
        <f>IF(A118="","",SUM(G118:I118))</f>
        <v/>
      </c>
      <c r="K118" s="5">
        <f>IF(A118="","",IF(IFERROR(XLOOKUP(A118,tblAccounts[Account_ID],tblAccounts[Include],FALSE),FALSE),SUMIFS(tblAcctSummary[Realized_GL_Base],tblAcctSummary[Account_ID],A118),0))</f>
        <v/>
      </c>
      <c r="L118" s="5">
        <f>IF(A118="","",IF(IFERROR(XLOOKUP(A118,tblAccounts[Account_ID],tblAccounts[Include],FALSE),FALSE),SUMIFS(tblAcctSummary[Fees_Base],tblAcctSummary[Account_ID],A118),0))</f>
        <v/>
      </c>
      <c r="M118" s="5">
        <f>IF(A118="","",IF(IFERROR(XLOOKUP(A118,tblAccounts[Account_ID],tblAccounts[Include],FALSE),FALSE),SUMIFS(tblAcctSummary[Taxes_Base],tblAcctSummary[Account_ID],A118),0))</f>
        <v/>
      </c>
      <c r="N118" s="5">
        <f>IF(A118="","",IF(IFERROR(XLOOKUP(A118,tblAccounts[Account_ID],tblAccounts[Include],FALSE),FALSE),IFERROR(SUMPRODUCT(tblAcctSummary[Return_Period],tblAcctSummary[Begin_Balance_Base],--(tblAcctSummary[Account_ID]=A118))/IF(SUMIFS(tblAcctSummary[Begin_Balance_Base],tblAcctSummary[Account_ID],A118)=0,NA(),SUMIFS(tblAcctSummary[Begin_Balance_Base],tblAcctSummary[Account_ID],A118)),0),0))</f>
        <v/>
      </c>
    </row>
    <row r="119">
      <c r="A119" s="5">
        <f>IFERROR(INDEX(tblAccounts[Account_ID],116),"")</f>
        <v/>
      </c>
      <c r="B119" s="5">
        <f>IF(A119="","",IFERROR(XLOOKUP(A119,tblAccounts[Account_ID],tblAccounts[Account_Name],""),""))</f>
        <v/>
      </c>
      <c r="C119" s="5">
        <f>IF(A119="","",IFERROR(XLOOKUP(A119,tblAccounts[Account_ID],tblAccounts[Household_ID],""),""))</f>
        <v/>
      </c>
      <c r="D119" s="5">
        <f>IF(A119="","",IF(IFERROR(XLOOKUP(A119,tblAccounts[Account_ID],tblAccounts[Include],FALSE),FALSE),SUMIFS(tblAcctSummary[Begin_Balance_Base],tblAcctSummary[Account_ID],A119),0))</f>
        <v/>
      </c>
      <c r="E119" s="5">
        <f>IF(A119="","",IF(IFERROR(XLOOKUP(A119,tblAccounts[Account_ID],tblAccounts[Include],FALSE),FALSE),SUMIFS(tblAcctSummary[End_Balance_Base],tblAcctSummary[Account_ID],A119),0))</f>
        <v/>
      </c>
      <c r="F119" s="5">
        <f>IF(A119="","",IF(IFERROR(XLOOKUP(A119,tblAccounts[Account_ID],tblAccounts[Include],FALSE),FALSE),SUMIFS(tblAcctSummary[Net_Contrib_Base],tblAcctSummary[Account_ID],A119),0))</f>
        <v/>
      </c>
      <c r="G119" s="5">
        <f>IF(A119="","",IF(IFERROR(XLOOKUP(A119,tblAccounts[Account_ID],tblAccounts[Include],FALSE),FALSE),SUMIFS(tblAcctSummary[Income_Interest_Base],tblAcctSummary[Account_ID],A119),0))</f>
        <v/>
      </c>
      <c r="H119" s="5">
        <f>IF(A119="","",IF(IFERROR(XLOOKUP(A119,tblAccounts[Account_ID],tblAccounts[Include],FALSE),FALSE),SUMIFS(tblAcctSummary[Income_Dividends_Base],tblAcctSummary[Account_ID],A119),0))</f>
        <v/>
      </c>
      <c r="I119" s="5">
        <f>IF(A119="","",IF(IFERROR(XLOOKUP(A119,tblAccounts[Account_ID],tblAccounts[Include],FALSE),FALSE),SUMIFS(tblAcctSummary[Income_Other_Base],tblAcctSummary[Account_ID],A119),0))</f>
        <v/>
      </c>
      <c r="J119" s="5">
        <f>IF(A119="","",SUM(G119:I119))</f>
        <v/>
      </c>
      <c r="K119" s="5">
        <f>IF(A119="","",IF(IFERROR(XLOOKUP(A119,tblAccounts[Account_ID],tblAccounts[Include],FALSE),FALSE),SUMIFS(tblAcctSummary[Realized_GL_Base],tblAcctSummary[Account_ID],A119),0))</f>
        <v/>
      </c>
      <c r="L119" s="5">
        <f>IF(A119="","",IF(IFERROR(XLOOKUP(A119,tblAccounts[Account_ID],tblAccounts[Include],FALSE),FALSE),SUMIFS(tblAcctSummary[Fees_Base],tblAcctSummary[Account_ID],A119),0))</f>
        <v/>
      </c>
      <c r="M119" s="5">
        <f>IF(A119="","",IF(IFERROR(XLOOKUP(A119,tblAccounts[Account_ID],tblAccounts[Include],FALSE),FALSE),SUMIFS(tblAcctSummary[Taxes_Base],tblAcctSummary[Account_ID],A119),0))</f>
        <v/>
      </c>
      <c r="N119" s="5">
        <f>IF(A119="","",IF(IFERROR(XLOOKUP(A119,tblAccounts[Account_ID],tblAccounts[Include],FALSE),FALSE),IFERROR(SUMPRODUCT(tblAcctSummary[Return_Period],tblAcctSummary[Begin_Balance_Base],--(tblAcctSummary[Account_ID]=A119))/IF(SUMIFS(tblAcctSummary[Begin_Balance_Base],tblAcctSummary[Account_ID],A119)=0,NA(),SUMIFS(tblAcctSummary[Begin_Balance_Base],tblAcctSummary[Account_ID],A119)),0),0))</f>
        <v/>
      </c>
    </row>
    <row r="120">
      <c r="A120" s="5">
        <f>IFERROR(INDEX(tblAccounts[Account_ID],117),"")</f>
        <v/>
      </c>
      <c r="B120" s="5">
        <f>IF(A120="","",IFERROR(XLOOKUP(A120,tblAccounts[Account_ID],tblAccounts[Account_Name],""),""))</f>
        <v/>
      </c>
      <c r="C120" s="5">
        <f>IF(A120="","",IFERROR(XLOOKUP(A120,tblAccounts[Account_ID],tblAccounts[Household_ID],""),""))</f>
        <v/>
      </c>
      <c r="D120" s="5">
        <f>IF(A120="","",IF(IFERROR(XLOOKUP(A120,tblAccounts[Account_ID],tblAccounts[Include],FALSE),FALSE),SUMIFS(tblAcctSummary[Begin_Balance_Base],tblAcctSummary[Account_ID],A120),0))</f>
        <v/>
      </c>
      <c r="E120" s="5">
        <f>IF(A120="","",IF(IFERROR(XLOOKUP(A120,tblAccounts[Account_ID],tblAccounts[Include],FALSE),FALSE),SUMIFS(tblAcctSummary[End_Balance_Base],tblAcctSummary[Account_ID],A120),0))</f>
        <v/>
      </c>
      <c r="F120" s="5">
        <f>IF(A120="","",IF(IFERROR(XLOOKUP(A120,tblAccounts[Account_ID],tblAccounts[Include],FALSE),FALSE),SUMIFS(tblAcctSummary[Net_Contrib_Base],tblAcctSummary[Account_ID],A120),0))</f>
        <v/>
      </c>
      <c r="G120" s="5">
        <f>IF(A120="","",IF(IFERROR(XLOOKUP(A120,tblAccounts[Account_ID],tblAccounts[Include],FALSE),FALSE),SUMIFS(tblAcctSummary[Income_Interest_Base],tblAcctSummary[Account_ID],A120),0))</f>
        <v/>
      </c>
      <c r="H120" s="5">
        <f>IF(A120="","",IF(IFERROR(XLOOKUP(A120,tblAccounts[Account_ID],tblAccounts[Include],FALSE),FALSE),SUMIFS(tblAcctSummary[Income_Dividends_Base],tblAcctSummary[Account_ID],A120),0))</f>
        <v/>
      </c>
      <c r="I120" s="5">
        <f>IF(A120="","",IF(IFERROR(XLOOKUP(A120,tblAccounts[Account_ID],tblAccounts[Include],FALSE),FALSE),SUMIFS(tblAcctSummary[Income_Other_Base],tblAcctSummary[Account_ID],A120),0))</f>
        <v/>
      </c>
      <c r="J120" s="5">
        <f>IF(A120="","",SUM(G120:I120))</f>
        <v/>
      </c>
      <c r="K120" s="5">
        <f>IF(A120="","",IF(IFERROR(XLOOKUP(A120,tblAccounts[Account_ID],tblAccounts[Include],FALSE),FALSE),SUMIFS(tblAcctSummary[Realized_GL_Base],tblAcctSummary[Account_ID],A120),0))</f>
        <v/>
      </c>
      <c r="L120" s="5">
        <f>IF(A120="","",IF(IFERROR(XLOOKUP(A120,tblAccounts[Account_ID],tblAccounts[Include],FALSE),FALSE),SUMIFS(tblAcctSummary[Fees_Base],tblAcctSummary[Account_ID],A120),0))</f>
        <v/>
      </c>
      <c r="M120" s="5">
        <f>IF(A120="","",IF(IFERROR(XLOOKUP(A120,tblAccounts[Account_ID],tblAccounts[Include],FALSE),FALSE),SUMIFS(tblAcctSummary[Taxes_Base],tblAcctSummary[Account_ID],A120),0))</f>
        <v/>
      </c>
      <c r="N120" s="5">
        <f>IF(A120="","",IF(IFERROR(XLOOKUP(A120,tblAccounts[Account_ID],tblAccounts[Include],FALSE),FALSE),IFERROR(SUMPRODUCT(tblAcctSummary[Return_Period],tblAcctSummary[Begin_Balance_Base],--(tblAcctSummary[Account_ID]=A120))/IF(SUMIFS(tblAcctSummary[Begin_Balance_Base],tblAcctSummary[Account_ID],A120)=0,NA(),SUMIFS(tblAcctSummary[Begin_Balance_Base],tblAcctSummary[Account_ID],A120)),0),0))</f>
        <v/>
      </c>
    </row>
    <row r="121">
      <c r="A121" s="5">
        <f>IFERROR(INDEX(tblAccounts[Account_ID],118),"")</f>
        <v/>
      </c>
      <c r="B121" s="5">
        <f>IF(A121="","",IFERROR(XLOOKUP(A121,tblAccounts[Account_ID],tblAccounts[Account_Name],""),""))</f>
        <v/>
      </c>
      <c r="C121" s="5">
        <f>IF(A121="","",IFERROR(XLOOKUP(A121,tblAccounts[Account_ID],tblAccounts[Household_ID],""),""))</f>
        <v/>
      </c>
      <c r="D121" s="5">
        <f>IF(A121="","",IF(IFERROR(XLOOKUP(A121,tblAccounts[Account_ID],tblAccounts[Include],FALSE),FALSE),SUMIFS(tblAcctSummary[Begin_Balance_Base],tblAcctSummary[Account_ID],A121),0))</f>
        <v/>
      </c>
      <c r="E121" s="5">
        <f>IF(A121="","",IF(IFERROR(XLOOKUP(A121,tblAccounts[Account_ID],tblAccounts[Include],FALSE),FALSE),SUMIFS(tblAcctSummary[End_Balance_Base],tblAcctSummary[Account_ID],A121),0))</f>
        <v/>
      </c>
      <c r="F121" s="5">
        <f>IF(A121="","",IF(IFERROR(XLOOKUP(A121,tblAccounts[Account_ID],tblAccounts[Include],FALSE),FALSE),SUMIFS(tblAcctSummary[Net_Contrib_Base],tblAcctSummary[Account_ID],A121),0))</f>
        <v/>
      </c>
      <c r="G121" s="5">
        <f>IF(A121="","",IF(IFERROR(XLOOKUP(A121,tblAccounts[Account_ID],tblAccounts[Include],FALSE),FALSE),SUMIFS(tblAcctSummary[Income_Interest_Base],tblAcctSummary[Account_ID],A121),0))</f>
        <v/>
      </c>
      <c r="H121" s="5">
        <f>IF(A121="","",IF(IFERROR(XLOOKUP(A121,tblAccounts[Account_ID],tblAccounts[Include],FALSE),FALSE),SUMIFS(tblAcctSummary[Income_Dividends_Base],tblAcctSummary[Account_ID],A121),0))</f>
        <v/>
      </c>
      <c r="I121" s="5">
        <f>IF(A121="","",IF(IFERROR(XLOOKUP(A121,tblAccounts[Account_ID],tblAccounts[Include],FALSE),FALSE),SUMIFS(tblAcctSummary[Income_Other_Base],tblAcctSummary[Account_ID],A121),0))</f>
        <v/>
      </c>
      <c r="J121" s="5">
        <f>IF(A121="","",SUM(G121:I121))</f>
        <v/>
      </c>
      <c r="K121" s="5">
        <f>IF(A121="","",IF(IFERROR(XLOOKUP(A121,tblAccounts[Account_ID],tblAccounts[Include],FALSE),FALSE),SUMIFS(tblAcctSummary[Realized_GL_Base],tblAcctSummary[Account_ID],A121),0))</f>
        <v/>
      </c>
      <c r="L121" s="5">
        <f>IF(A121="","",IF(IFERROR(XLOOKUP(A121,tblAccounts[Account_ID],tblAccounts[Include],FALSE),FALSE),SUMIFS(tblAcctSummary[Fees_Base],tblAcctSummary[Account_ID],A121),0))</f>
        <v/>
      </c>
      <c r="M121" s="5">
        <f>IF(A121="","",IF(IFERROR(XLOOKUP(A121,tblAccounts[Account_ID],tblAccounts[Include],FALSE),FALSE),SUMIFS(tblAcctSummary[Taxes_Base],tblAcctSummary[Account_ID],A121),0))</f>
        <v/>
      </c>
      <c r="N121" s="5">
        <f>IF(A121="","",IF(IFERROR(XLOOKUP(A121,tblAccounts[Account_ID],tblAccounts[Include],FALSE),FALSE),IFERROR(SUMPRODUCT(tblAcctSummary[Return_Period],tblAcctSummary[Begin_Balance_Base],--(tblAcctSummary[Account_ID]=A121))/IF(SUMIFS(tblAcctSummary[Begin_Balance_Base],tblAcctSummary[Account_ID],A121)=0,NA(),SUMIFS(tblAcctSummary[Begin_Balance_Base],tblAcctSummary[Account_ID],A121)),0),0))</f>
        <v/>
      </c>
    </row>
    <row r="122">
      <c r="A122" s="5">
        <f>IFERROR(INDEX(tblAccounts[Account_ID],119),"")</f>
        <v/>
      </c>
      <c r="B122" s="5">
        <f>IF(A122="","",IFERROR(XLOOKUP(A122,tblAccounts[Account_ID],tblAccounts[Account_Name],""),""))</f>
        <v/>
      </c>
      <c r="C122" s="5">
        <f>IF(A122="","",IFERROR(XLOOKUP(A122,tblAccounts[Account_ID],tblAccounts[Household_ID],""),""))</f>
        <v/>
      </c>
      <c r="D122" s="5">
        <f>IF(A122="","",IF(IFERROR(XLOOKUP(A122,tblAccounts[Account_ID],tblAccounts[Include],FALSE),FALSE),SUMIFS(tblAcctSummary[Begin_Balance_Base],tblAcctSummary[Account_ID],A122),0))</f>
        <v/>
      </c>
      <c r="E122" s="5">
        <f>IF(A122="","",IF(IFERROR(XLOOKUP(A122,tblAccounts[Account_ID],tblAccounts[Include],FALSE),FALSE),SUMIFS(tblAcctSummary[End_Balance_Base],tblAcctSummary[Account_ID],A122),0))</f>
        <v/>
      </c>
      <c r="F122" s="5">
        <f>IF(A122="","",IF(IFERROR(XLOOKUP(A122,tblAccounts[Account_ID],tblAccounts[Include],FALSE),FALSE),SUMIFS(tblAcctSummary[Net_Contrib_Base],tblAcctSummary[Account_ID],A122),0))</f>
        <v/>
      </c>
      <c r="G122" s="5">
        <f>IF(A122="","",IF(IFERROR(XLOOKUP(A122,tblAccounts[Account_ID],tblAccounts[Include],FALSE),FALSE),SUMIFS(tblAcctSummary[Income_Interest_Base],tblAcctSummary[Account_ID],A122),0))</f>
        <v/>
      </c>
      <c r="H122" s="5">
        <f>IF(A122="","",IF(IFERROR(XLOOKUP(A122,tblAccounts[Account_ID],tblAccounts[Include],FALSE),FALSE),SUMIFS(tblAcctSummary[Income_Dividends_Base],tblAcctSummary[Account_ID],A122),0))</f>
        <v/>
      </c>
      <c r="I122" s="5">
        <f>IF(A122="","",IF(IFERROR(XLOOKUP(A122,tblAccounts[Account_ID],tblAccounts[Include],FALSE),FALSE),SUMIFS(tblAcctSummary[Income_Other_Base],tblAcctSummary[Account_ID],A122),0))</f>
        <v/>
      </c>
      <c r="J122" s="5">
        <f>IF(A122="","",SUM(G122:I122))</f>
        <v/>
      </c>
      <c r="K122" s="5">
        <f>IF(A122="","",IF(IFERROR(XLOOKUP(A122,tblAccounts[Account_ID],tblAccounts[Include],FALSE),FALSE),SUMIFS(tblAcctSummary[Realized_GL_Base],tblAcctSummary[Account_ID],A122),0))</f>
        <v/>
      </c>
      <c r="L122" s="5">
        <f>IF(A122="","",IF(IFERROR(XLOOKUP(A122,tblAccounts[Account_ID],tblAccounts[Include],FALSE),FALSE),SUMIFS(tblAcctSummary[Fees_Base],tblAcctSummary[Account_ID],A122),0))</f>
        <v/>
      </c>
      <c r="M122" s="5">
        <f>IF(A122="","",IF(IFERROR(XLOOKUP(A122,tblAccounts[Account_ID],tblAccounts[Include],FALSE),FALSE),SUMIFS(tblAcctSummary[Taxes_Base],tblAcctSummary[Account_ID],A122),0))</f>
        <v/>
      </c>
      <c r="N122" s="5">
        <f>IF(A122="","",IF(IFERROR(XLOOKUP(A122,tblAccounts[Account_ID],tblAccounts[Include],FALSE),FALSE),IFERROR(SUMPRODUCT(tblAcctSummary[Return_Period],tblAcctSummary[Begin_Balance_Base],--(tblAcctSummary[Account_ID]=A122))/IF(SUMIFS(tblAcctSummary[Begin_Balance_Base],tblAcctSummary[Account_ID],A122)=0,NA(),SUMIFS(tblAcctSummary[Begin_Balance_Base],tblAcctSummary[Account_ID],A122)),0),0))</f>
        <v/>
      </c>
    </row>
    <row r="123">
      <c r="A123" s="5">
        <f>IFERROR(INDEX(tblAccounts[Account_ID],120),"")</f>
        <v/>
      </c>
      <c r="B123" s="5">
        <f>IF(A123="","",IFERROR(XLOOKUP(A123,tblAccounts[Account_ID],tblAccounts[Account_Name],""),""))</f>
        <v/>
      </c>
      <c r="C123" s="5">
        <f>IF(A123="","",IFERROR(XLOOKUP(A123,tblAccounts[Account_ID],tblAccounts[Household_ID],""),""))</f>
        <v/>
      </c>
      <c r="D123" s="5">
        <f>IF(A123="","",IF(IFERROR(XLOOKUP(A123,tblAccounts[Account_ID],tblAccounts[Include],FALSE),FALSE),SUMIFS(tblAcctSummary[Begin_Balance_Base],tblAcctSummary[Account_ID],A123),0))</f>
        <v/>
      </c>
      <c r="E123" s="5">
        <f>IF(A123="","",IF(IFERROR(XLOOKUP(A123,tblAccounts[Account_ID],tblAccounts[Include],FALSE),FALSE),SUMIFS(tblAcctSummary[End_Balance_Base],tblAcctSummary[Account_ID],A123),0))</f>
        <v/>
      </c>
      <c r="F123" s="5">
        <f>IF(A123="","",IF(IFERROR(XLOOKUP(A123,tblAccounts[Account_ID],tblAccounts[Include],FALSE),FALSE),SUMIFS(tblAcctSummary[Net_Contrib_Base],tblAcctSummary[Account_ID],A123),0))</f>
        <v/>
      </c>
      <c r="G123" s="5">
        <f>IF(A123="","",IF(IFERROR(XLOOKUP(A123,tblAccounts[Account_ID],tblAccounts[Include],FALSE),FALSE),SUMIFS(tblAcctSummary[Income_Interest_Base],tblAcctSummary[Account_ID],A123),0))</f>
        <v/>
      </c>
      <c r="H123" s="5">
        <f>IF(A123="","",IF(IFERROR(XLOOKUP(A123,tblAccounts[Account_ID],tblAccounts[Include],FALSE),FALSE),SUMIFS(tblAcctSummary[Income_Dividends_Base],tblAcctSummary[Account_ID],A123),0))</f>
        <v/>
      </c>
      <c r="I123" s="5">
        <f>IF(A123="","",IF(IFERROR(XLOOKUP(A123,tblAccounts[Account_ID],tblAccounts[Include],FALSE),FALSE),SUMIFS(tblAcctSummary[Income_Other_Base],tblAcctSummary[Account_ID],A123),0))</f>
        <v/>
      </c>
      <c r="J123" s="5">
        <f>IF(A123="","",SUM(G123:I123))</f>
        <v/>
      </c>
      <c r="K123" s="5">
        <f>IF(A123="","",IF(IFERROR(XLOOKUP(A123,tblAccounts[Account_ID],tblAccounts[Include],FALSE),FALSE),SUMIFS(tblAcctSummary[Realized_GL_Base],tblAcctSummary[Account_ID],A123),0))</f>
        <v/>
      </c>
      <c r="L123" s="5">
        <f>IF(A123="","",IF(IFERROR(XLOOKUP(A123,tblAccounts[Account_ID],tblAccounts[Include],FALSE),FALSE),SUMIFS(tblAcctSummary[Fees_Base],tblAcctSummary[Account_ID],A123),0))</f>
        <v/>
      </c>
      <c r="M123" s="5">
        <f>IF(A123="","",IF(IFERROR(XLOOKUP(A123,tblAccounts[Account_ID],tblAccounts[Include],FALSE),FALSE),SUMIFS(tblAcctSummary[Taxes_Base],tblAcctSummary[Account_ID],A123),0))</f>
        <v/>
      </c>
      <c r="N123" s="5">
        <f>IF(A123="","",IF(IFERROR(XLOOKUP(A123,tblAccounts[Account_ID],tblAccounts[Include],FALSE),FALSE),IFERROR(SUMPRODUCT(tblAcctSummary[Return_Period],tblAcctSummary[Begin_Balance_Base],--(tblAcctSummary[Account_ID]=A123))/IF(SUMIFS(tblAcctSummary[Begin_Balance_Base],tblAcctSummary[Account_ID],A123)=0,NA(),SUMIFS(tblAcctSummary[Begin_Balance_Base],tblAcctSummary[Account_ID],A123)),0),0))</f>
        <v/>
      </c>
    </row>
    <row r="124">
      <c r="A124" s="5">
        <f>IFERROR(INDEX(tblAccounts[Account_ID],121),"")</f>
        <v/>
      </c>
      <c r="B124" s="5">
        <f>IF(A124="","",IFERROR(XLOOKUP(A124,tblAccounts[Account_ID],tblAccounts[Account_Name],""),""))</f>
        <v/>
      </c>
      <c r="C124" s="5">
        <f>IF(A124="","",IFERROR(XLOOKUP(A124,tblAccounts[Account_ID],tblAccounts[Household_ID],""),""))</f>
        <v/>
      </c>
      <c r="D124" s="5">
        <f>IF(A124="","",IF(IFERROR(XLOOKUP(A124,tblAccounts[Account_ID],tblAccounts[Include],FALSE),FALSE),SUMIFS(tblAcctSummary[Begin_Balance_Base],tblAcctSummary[Account_ID],A124),0))</f>
        <v/>
      </c>
      <c r="E124" s="5">
        <f>IF(A124="","",IF(IFERROR(XLOOKUP(A124,tblAccounts[Account_ID],tblAccounts[Include],FALSE),FALSE),SUMIFS(tblAcctSummary[End_Balance_Base],tblAcctSummary[Account_ID],A124),0))</f>
        <v/>
      </c>
      <c r="F124" s="5">
        <f>IF(A124="","",IF(IFERROR(XLOOKUP(A124,tblAccounts[Account_ID],tblAccounts[Include],FALSE),FALSE),SUMIFS(tblAcctSummary[Net_Contrib_Base],tblAcctSummary[Account_ID],A124),0))</f>
        <v/>
      </c>
      <c r="G124" s="5">
        <f>IF(A124="","",IF(IFERROR(XLOOKUP(A124,tblAccounts[Account_ID],tblAccounts[Include],FALSE),FALSE),SUMIFS(tblAcctSummary[Income_Interest_Base],tblAcctSummary[Account_ID],A124),0))</f>
        <v/>
      </c>
      <c r="H124" s="5">
        <f>IF(A124="","",IF(IFERROR(XLOOKUP(A124,tblAccounts[Account_ID],tblAccounts[Include],FALSE),FALSE),SUMIFS(tblAcctSummary[Income_Dividends_Base],tblAcctSummary[Account_ID],A124),0))</f>
        <v/>
      </c>
      <c r="I124" s="5">
        <f>IF(A124="","",IF(IFERROR(XLOOKUP(A124,tblAccounts[Account_ID],tblAccounts[Include],FALSE),FALSE),SUMIFS(tblAcctSummary[Income_Other_Base],tblAcctSummary[Account_ID],A124),0))</f>
        <v/>
      </c>
      <c r="J124" s="5">
        <f>IF(A124="","",SUM(G124:I124))</f>
        <v/>
      </c>
      <c r="K124" s="5">
        <f>IF(A124="","",IF(IFERROR(XLOOKUP(A124,tblAccounts[Account_ID],tblAccounts[Include],FALSE),FALSE),SUMIFS(tblAcctSummary[Realized_GL_Base],tblAcctSummary[Account_ID],A124),0))</f>
        <v/>
      </c>
      <c r="L124" s="5">
        <f>IF(A124="","",IF(IFERROR(XLOOKUP(A124,tblAccounts[Account_ID],tblAccounts[Include],FALSE),FALSE),SUMIFS(tblAcctSummary[Fees_Base],tblAcctSummary[Account_ID],A124),0))</f>
        <v/>
      </c>
      <c r="M124" s="5">
        <f>IF(A124="","",IF(IFERROR(XLOOKUP(A124,tblAccounts[Account_ID],tblAccounts[Include],FALSE),FALSE),SUMIFS(tblAcctSummary[Taxes_Base],tblAcctSummary[Account_ID],A124),0))</f>
        <v/>
      </c>
      <c r="N124" s="5">
        <f>IF(A124="","",IF(IFERROR(XLOOKUP(A124,tblAccounts[Account_ID],tblAccounts[Include],FALSE),FALSE),IFERROR(SUMPRODUCT(tblAcctSummary[Return_Period],tblAcctSummary[Begin_Balance_Base],--(tblAcctSummary[Account_ID]=A124))/IF(SUMIFS(tblAcctSummary[Begin_Balance_Base],tblAcctSummary[Account_ID],A124)=0,NA(),SUMIFS(tblAcctSummary[Begin_Balance_Base],tblAcctSummary[Account_ID],A124)),0),0))</f>
        <v/>
      </c>
    </row>
    <row r="125">
      <c r="A125" s="5">
        <f>IFERROR(INDEX(tblAccounts[Account_ID],122),"")</f>
        <v/>
      </c>
      <c r="B125" s="5">
        <f>IF(A125="","",IFERROR(XLOOKUP(A125,tblAccounts[Account_ID],tblAccounts[Account_Name],""),""))</f>
        <v/>
      </c>
      <c r="C125" s="5">
        <f>IF(A125="","",IFERROR(XLOOKUP(A125,tblAccounts[Account_ID],tblAccounts[Household_ID],""),""))</f>
        <v/>
      </c>
      <c r="D125" s="5">
        <f>IF(A125="","",IF(IFERROR(XLOOKUP(A125,tblAccounts[Account_ID],tblAccounts[Include],FALSE),FALSE),SUMIFS(tblAcctSummary[Begin_Balance_Base],tblAcctSummary[Account_ID],A125),0))</f>
        <v/>
      </c>
      <c r="E125" s="5">
        <f>IF(A125="","",IF(IFERROR(XLOOKUP(A125,tblAccounts[Account_ID],tblAccounts[Include],FALSE),FALSE),SUMIFS(tblAcctSummary[End_Balance_Base],tblAcctSummary[Account_ID],A125),0))</f>
        <v/>
      </c>
      <c r="F125" s="5">
        <f>IF(A125="","",IF(IFERROR(XLOOKUP(A125,tblAccounts[Account_ID],tblAccounts[Include],FALSE),FALSE),SUMIFS(tblAcctSummary[Net_Contrib_Base],tblAcctSummary[Account_ID],A125),0))</f>
        <v/>
      </c>
      <c r="G125" s="5">
        <f>IF(A125="","",IF(IFERROR(XLOOKUP(A125,tblAccounts[Account_ID],tblAccounts[Include],FALSE),FALSE),SUMIFS(tblAcctSummary[Income_Interest_Base],tblAcctSummary[Account_ID],A125),0))</f>
        <v/>
      </c>
      <c r="H125" s="5">
        <f>IF(A125="","",IF(IFERROR(XLOOKUP(A125,tblAccounts[Account_ID],tblAccounts[Include],FALSE),FALSE),SUMIFS(tblAcctSummary[Income_Dividends_Base],tblAcctSummary[Account_ID],A125),0))</f>
        <v/>
      </c>
      <c r="I125" s="5">
        <f>IF(A125="","",IF(IFERROR(XLOOKUP(A125,tblAccounts[Account_ID],tblAccounts[Include],FALSE),FALSE),SUMIFS(tblAcctSummary[Income_Other_Base],tblAcctSummary[Account_ID],A125),0))</f>
        <v/>
      </c>
      <c r="J125" s="5">
        <f>IF(A125="","",SUM(G125:I125))</f>
        <v/>
      </c>
      <c r="K125" s="5">
        <f>IF(A125="","",IF(IFERROR(XLOOKUP(A125,tblAccounts[Account_ID],tblAccounts[Include],FALSE),FALSE),SUMIFS(tblAcctSummary[Realized_GL_Base],tblAcctSummary[Account_ID],A125),0))</f>
        <v/>
      </c>
      <c r="L125" s="5">
        <f>IF(A125="","",IF(IFERROR(XLOOKUP(A125,tblAccounts[Account_ID],tblAccounts[Include],FALSE),FALSE),SUMIFS(tblAcctSummary[Fees_Base],tblAcctSummary[Account_ID],A125),0))</f>
        <v/>
      </c>
      <c r="M125" s="5">
        <f>IF(A125="","",IF(IFERROR(XLOOKUP(A125,tblAccounts[Account_ID],tblAccounts[Include],FALSE),FALSE),SUMIFS(tblAcctSummary[Taxes_Base],tblAcctSummary[Account_ID],A125),0))</f>
        <v/>
      </c>
      <c r="N125" s="5">
        <f>IF(A125="","",IF(IFERROR(XLOOKUP(A125,tblAccounts[Account_ID],tblAccounts[Include],FALSE),FALSE),IFERROR(SUMPRODUCT(tblAcctSummary[Return_Period],tblAcctSummary[Begin_Balance_Base],--(tblAcctSummary[Account_ID]=A125))/IF(SUMIFS(tblAcctSummary[Begin_Balance_Base],tblAcctSummary[Account_ID],A125)=0,NA(),SUMIFS(tblAcctSummary[Begin_Balance_Base],tblAcctSummary[Account_ID],A125)),0),0))</f>
        <v/>
      </c>
    </row>
    <row r="126">
      <c r="A126" s="5">
        <f>IFERROR(INDEX(tblAccounts[Account_ID],123),"")</f>
        <v/>
      </c>
      <c r="B126" s="5">
        <f>IF(A126="","",IFERROR(XLOOKUP(A126,tblAccounts[Account_ID],tblAccounts[Account_Name],""),""))</f>
        <v/>
      </c>
      <c r="C126" s="5">
        <f>IF(A126="","",IFERROR(XLOOKUP(A126,tblAccounts[Account_ID],tblAccounts[Household_ID],""),""))</f>
        <v/>
      </c>
      <c r="D126" s="5">
        <f>IF(A126="","",IF(IFERROR(XLOOKUP(A126,tblAccounts[Account_ID],tblAccounts[Include],FALSE),FALSE),SUMIFS(tblAcctSummary[Begin_Balance_Base],tblAcctSummary[Account_ID],A126),0))</f>
        <v/>
      </c>
      <c r="E126" s="5">
        <f>IF(A126="","",IF(IFERROR(XLOOKUP(A126,tblAccounts[Account_ID],tblAccounts[Include],FALSE),FALSE),SUMIFS(tblAcctSummary[End_Balance_Base],tblAcctSummary[Account_ID],A126),0))</f>
        <v/>
      </c>
      <c r="F126" s="5">
        <f>IF(A126="","",IF(IFERROR(XLOOKUP(A126,tblAccounts[Account_ID],tblAccounts[Include],FALSE),FALSE),SUMIFS(tblAcctSummary[Net_Contrib_Base],tblAcctSummary[Account_ID],A126),0))</f>
        <v/>
      </c>
      <c r="G126" s="5">
        <f>IF(A126="","",IF(IFERROR(XLOOKUP(A126,tblAccounts[Account_ID],tblAccounts[Include],FALSE),FALSE),SUMIFS(tblAcctSummary[Income_Interest_Base],tblAcctSummary[Account_ID],A126),0))</f>
        <v/>
      </c>
      <c r="H126" s="5">
        <f>IF(A126="","",IF(IFERROR(XLOOKUP(A126,tblAccounts[Account_ID],tblAccounts[Include],FALSE),FALSE),SUMIFS(tblAcctSummary[Income_Dividends_Base],tblAcctSummary[Account_ID],A126),0))</f>
        <v/>
      </c>
      <c r="I126" s="5">
        <f>IF(A126="","",IF(IFERROR(XLOOKUP(A126,tblAccounts[Account_ID],tblAccounts[Include],FALSE),FALSE),SUMIFS(tblAcctSummary[Income_Other_Base],tblAcctSummary[Account_ID],A126),0))</f>
        <v/>
      </c>
      <c r="J126" s="5">
        <f>IF(A126="","",SUM(G126:I126))</f>
        <v/>
      </c>
      <c r="K126" s="5">
        <f>IF(A126="","",IF(IFERROR(XLOOKUP(A126,tblAccounts[Account_ID],tblAccounts[Include],FALSE),FALSE),SUMIFS(tblAcctSummary[Realized_GL_Base],tblAcctSummary[Account_ID],A126),0))</f>
        <v/>
      </c>
      <c r="L126" s="5">
        <f>IF(A126="","",IF(IFERROR(XLOOKUP(A126,tblAccounts[Account_ID],tblAccounts[Include],FALSE),FALSE),SUMIFS(tblAcctSummary[Fees_Base],tblAcctSummary[Account_ID],A126),0))</f>
        <v/>
      </c>
      <c r="M126" s="5">
        <f>IF(A126="","",IF(IFERROR(XLOOKUP(A126,tblAccounts[Account_ID],tblAccounts[Include],FALSE),FALSE),SUMIFS(tblAcctSummary[Taxes_Base],tblAcctSummary[Account_ID],A126),0))</f>
        <v/>
      </c>
      <c r="N126" s="5">
        <f>IF(A126="","",IF(IFERROR(XLOOKUP(A126,tblAccounts[Account_ID],tblAccounts[Include],FALSE),FALSE),IFERROR(SUMPRODUCT(tblAcctSummary[Return_Period],tblAcctSummary[Begin_Balance_Base],--(tblAcctSummary[Account_ID]=A126))/IF(SUMIFS(tblAcctSummary[Begin_Balance_Base],tblAcctSummary[Account_ID],A126)=0,NA(),SUMIFS(tblAcctSummary[Begin_Balance_Base],tblAcctSummary[Account_ID],A126)),0),0))</f>
        <v/>
      </c>
    </row>
    <row r="127">
      <c r="A127" s="5">
        <f>IFERROR(INDEX(tblAccounts[Account_ID],124),"")</f>
        <v/>
      </c>
      <c r="B127" s="5">
        <f>IF(A127="","",IFERROR(XLOOKUP(A127,tblAccounts[Account_ID],tblAccounts[Account_Name],""),""))</f>
        <v/>
      </c>
      <c r="C127" s="5">
        <f>IF(A127="","",IFERROR(XLOOKUP(A127,tblAccounts[Account_ID],tblAccounts[Household_ID],""),""))</f>
        <v/>
      </c>
      <c r="D127" s="5">
        <f>IF(A127="","",IF(IFERROR(XLOOKUP(A127,tblAccounts[Account_ID],tblAccounts[Include],FALSE),FALSE),SUMIFS(tblAcctSummary[Begin_Balance_Base],tblAcctSummary[Account_ID],A127),0))</f>
        <v/>
      </c>
      <c r="E127" s="5">
        <f>IF(A127="","",IF(IFERROR(XLOOKUP(A127,tblAccounts[Account_ID],tblAccounts[Include],FALSE),FALSE),SUMIFS(tblAcctSummary[End_Balance_Base],tblAcctSummary[Account_ID],A127),0))</f>
        <v/>
      </c>
      <c r="F127" s="5">
        <f>IF(A127="","",IF(IFERROR(XLOOKUP(A127,tblAccounts[Account_ID],tblAccounts[Include],FALSE),FALSE),SUMIFS(tblAcctSummary[Net_Contrib_Base],tblAcctSummary[Account_ID],A127),0))</f>
        <v/>
      </c>
      <c r="G127" s="5">
        <f>IF(A127="","",IF(IFERROR(XLOOKUP(A127,tblAccounts[Account_ID],tblAccounts[Include],FALSE),FALSE),SUMIFS(tblAcctSummary[Income_Interest_Base],tblAcctSummary[Account_ID],A127),0))</f>
        <v/>
      </c>
      <c r="H127" s="5">
        <f>IF(A127="","",IF(IFERROR(XLOOKUP(A127,tblAccounts[Account_ID],tblAccounts[Include],FALSE),FALSE),SUMIFS(tblAcctSummary[Income_Dividends_Base],tblAcctSummary[Account_ID],A127),0))</f>
        <v/>
      </c>
      <c r="I127" s="5">
        <f>IF(A127="","",IF(IFERROR(XLOOKUP(A127,tblAccounts[Account_ID],tblAccounts[Include],FALSE),FALSE),SUMIFS(tblAcctSummary[Income_Other_Base],tblAcctSummary[Account_ID],A127),0))</f>
        <v/>
      </c>
      <c r="J127" s="5">
        <f>IF(A127="","",SUM(G127:I127))</f>
        <v/>
      </c>
      <c r="K127" s="5">
        <f>IF(A127="","",IF(IFERROR(XLOOKUP(A127,tblAccounts[Account_ID],tblAccounts[Include],FALSE),FALSE),SUMIFS(tblAcctSummary[Realized_GL_Base],tblAcctSummary[Account_ID],A127),0))</f>
        <v/>
      </c>
      <c r="L127" s="5">
        <f>IF(A127="","",IF(IFERROR(XLOOKUP(A127,tblAccounts[Account_ID],tblAccounts[Include],FALSE),FALSE),SUMIFS(tblAcctSummary[Fees_Base],tblAcctSummary[Account_ID],A127),0))</f>
        <v/>
      </c>
      <c r="M127" s="5">
        <f>IF(A127="","",IF(IFERROR(XLOOKUP(A127,tblAccounts[Account_ID],tblAccounts[Include],FALSE),FALSE),SUMIFS(tblAcctSummary[Taxes_Base],tblAcctSummary[Account_ID],A127),0))</f>
        <v/>
      </c>
      <c r="N127" s="5">
        <f>IF(A127="","",IF(IFERROR(XLOOKUP(A127,tblAccounts[Account_ID],tblAccounts[Include],FALSE),FALSE),IFERROR(SUMPRODUCT(tblAcctSummary[Return_Period],tblAcctSummary[Begin_Balance_Base],--(tblAcctSummary[Account_ID]=A127))/IF(SUMIFS(tblAcctSummary[Begin_Balance_Base],tblAcctSummary[Account_ID],A127)=0,NA(),SUMIFS(tblAcctSummary[Begin_Balance_Base],tblAcctSummary[Account_ID],A127)),0),0))</f>
        <v/>
      </c>
    </row>
    <row r="128">
      <c r="A128" s="5">
        <f>IFERROR(INDEX(tblAccounts[Account_ID],125),"")</f>
        <v/>
      </c>
      <c r="B128" s="5">
        <f>IF(A128="","",IFERROR(XLOOKUP(A128,tblAccounts[Account_ID],tblAccounts[Account_Name],""),""))</f>
        <v/>
      </c>
      <c r="C128" s="5">
        <f>IF(A128="","",IFERROR(XLOOKUP(A128,tblAccounts[Account_ID],tblAccounts[Household_ID],""),""))</f>
        <v/>
      </c>
      <c r="D128" s="5">
        <f>IF(A128="","",IF(IFERROR(XLOOKUP(A128,tblAccounts[Account_ID],tblAccounts[Include],FALSE),FALSE),SUMIFS(tblAcctSummary[Begin_Balance_Base],tblAcctSummary[Account_ID],A128),0))</f>
        <v/>
      </c>
      <c r="E128" s="5">
        <f>IF(A128="","",IF(IFERROR(XLOOKUP(A128,tblAccounts[Account_ID],tblAccounts[Include],FALSE),FALSE),SUMIFS(tblAcctSummary[End_Balance_Base],tblAcctSummary[Account_ID],A128),0))</f>
        <v/>
      </c>
      <c r="F128" s="5">
        <f>IF(A128="","",IF(IFERROR(XLOOKUP(A128,tblAccounts[Account_ID],tblAccounts[Include],FALSE),FALSE),SUMIFS(tblAcctSummary[Net_Contrib_Base],tblAcctSummary[Account_ID],A128),0))</f>
        <v/>
      </c>
      <c r="G128" s="5">
        <f>IF(A128="","",IF(IFERROR(XLOOKUP(A128,tblAccounts[Account_ID],tblAccounts[Include],FALSE),FALSE),SUMIFS(tblAcctSummary[Income_Interest_Base],tblAcctSummary[Account_ID],A128),0))</f>
        <v/>
      </c>
      <c r="H128" s="5">
        <f>IF(A128="","",IF(IFERROR(XLOOKUP(A128,tblAccounts[Account_ID],tblAccounts[Include],FALSE),FALSE),SUMIFS(tblAcctSummary[Income_Dividends_Base],tblAcctSummary[Account_ID],A128),0))</f>
        <v/>
      </c>
      <c r="I128" s="5">
        <f>IF(A128="","",IF(IFERROR(XLOOKUP(A128,tblAccounts[Account_ID],tblAccounts[Include],FALSE),FALSE),SUMIFS(tblAcctSummary[Income_Other_Base],tblAcctSummary[Account_ID],A128),0))</f>
        <v/>
      </c>
      <c r="J128" s="5">
        <f>IF(A128="","",SUM(G128:I128))</f>
        <v/>
      </c>
      <c r="K128" s="5">
        <f>IF(A128="","",IF(IFERROR(XLOOKUP(A128,tblAccounts[Account_ID],tblAccounts[Include],FALSE),FALSE),SUMIFS(tblAcctSummary[Realized_GL_Base],tblAcctSummary[Account_ID],A128),0))</f>
        <v/>
      </c>
      <c r="L128" s="5">
        <f>IF(A128="","",IF(IFERROR(XLOOKUP(A128,tblAccounts[Account_ID],tblAccounts[Include],FALSE),FALSE),SUMIFS(tblAcctSummary[Fees_Base],tblAcctSummary[Account_ID],A128),0))</f>
        <v/>
      </c>
      <c r="M128" s="5">
        <f>IF(A128="","",IF(IFERROR(XLOOKUP(A128,tblAccounts[Account_ID],tblAccounts[Include],FALSE),FALSE),SUMIFS(tblAcctSummary[Taxes_Base],tblAcctSummary[Account_ID],A128),0))</f>
        <v/>
      </c>
      <c r="N128" s="5">
        <f>IF(A128="","",IF(IFERROR(XLOOKUP(A128,tblAccounts[Account_ID],tblAccounts[Include],FALSE),FALSE),IFERROR(SUMPRODUCT(tblAcctSummary[Return_Period],tblAcctSummary[Begin_Balance_Base],--(tblAcctSummary[Account_ID]=A128))/IF(SUMIFS(tblAcctSummary[Begin_Balance_Base],tblAcctSummary[Account_ID],A128)=0,NA(),SUMIFS(tblAcctSummary[Begin_Balance_Base],tblAcctSummary[Account_ID],A128)),0),0))</f>
        <v/>
      </c>
    </row>
    <row r="129">
      <c r="A129" s="5">
        <f>IFERROR(INDEX(tblAccounts[Account_ID],126),"")</f>
        <v/>
      </c>
      <c r="B129" s="5">
        <f>IF(A129="","",IFERROR(XLOOKUP(A129,tblAccounts[Account_ID],tblAccounts[Account_Name],""),""))</f>
        <v/>
      </c>
      <c r="C129" s="5">
        <f>IF(A129="","",IFERROR(XLOOKUP(A129,tblAccounts[Account_ID],tblAccounts[Household_ID],""),""))</f>
        <v/>
      </c>
      <c r="D129" s="5">
        <f>IF(A129="","",IF(IFERROR(XLOOKUP(A129,tblAccounts[Account_ID],tblAccounts[Include],FALSE),FALSE),SUMIFS(tblAcctSummary[Begin_Balance_Base],tblAcctSummary[Account_ID],A129),0))</f>
        <v/>
      </c>
      <c r="E129" s="5">
        <f>IF(A129="","",IF(IFERROR(XLOOKUP(A129,tblAccounts[Account_ID],tblAccounts[Include],FALSE),FALSE),SUMIFS(tblAcctSummary[End_Balance_Base],tblAcctSummary[Account_ID],A129),0))</f>
        <v/>
      </c>
      <c r="F129" s="5">
        <f>IF(A129="","",IF(IFERROR(XLOOKUP(A129,tblAccounts[Account_ID],tblAccounts[Include],FALSE),FALSE),SUMIFS(tblAcctSummary[Net_Contrib_Base],tblAcctSummary[Account_ID],A129),0))</f>
        <v/>
      </c>
      <c r="G129" s="5">
        <f>IF(A129="","",IF(IFERROR(XLOOKUP(A129,tblAccounts[Account_ID],tblAccounts[Include],FALSE),FALSE),SUMIFS(tblAcctSummary[Income_Interest_Base],tblAcctSummary[Account_ID],A129),0))</f>
        <v/>
      </c>
      <c r="H129" s="5">
        <f>IF(A129="","",IF(IFERROR(XLOOKUP(A129,tblAccounts[Account_ID],tblAccounts[Include],FALSE),FALSE),SUMIFS(tblAcctSummary[Income_Dividends_Base],tblAcctSummary[Account_ID],A129),0))</f>
        <v/>
      </c>
      <c r="I129" s="5">
        <f>IF(A129="","",IF(IFERROR(XLOOKUP(A129,tblAccounts[Account_ID],tblAccounts[Include],FALSE),FALSE),SUMIFS(tblAcctSummary[Income_Other_Base],tblAcctSummary[Account_ID],A129),0))</f>
        <v/>
      </c>
      <c r="J129" s="5">
        <f>IF(A129="","",SUM(G129:I129))</f>
        <v/>
      </c>
      <c r="K129" s="5">
        <f>IF(A129="","",IF(IFERROR(XLOOKUP(A129,tblAccounts[Account_ID],tblAccounts[Include],FALSE),FALSE),SUMIFS(tblAcctSummary[Realized_GL_Base],tblAcctSummary[Account_ID],A129),0))</f>
        <v/>
      </c>
      <c r="L129" s="5">
        <f>IF(A129="","",IF(IFERROR(XLOOKUP(A129,tblAccounts[Account_ID],tblAccounts[Include],FALSE),FALSE),SUMIFS(tblAcctSummary[Fees_Base],tblAcctSummary[Account_ID],A129),0))</f>
        <v/>
      </c>
      <c r="M129" s="5">
        <f>IF(A129="","",IF(IFERROR(XLOOKUP(A129,tblAccounts[Account_ID],tblAccounts[Include],FALSE),FALSE),SUMIFS(tblAcctSummary[Taxes_Base],tblAcctSummary[Account_ID],A129),0))</f>
        <v/>
      </c>
      <c r="N129" s="5">
        <f>IF(A129="","",IF(IFERROR(XLOOKUP(A129,tblAccounts[Account_ID],tblAccounts[Include],FALSE),FALSE),IFERROR(SUMPRODUCT(tblAcctSummary[Return_Period],tblAcctSummary[Begin_Balance_Base],--(tblAcctSummary[Account_ID]=A129))/IF(SUMIFS(tblAcctSummary[Begin_Balance_Base],tblAcctSummary[Account_ID],A129)=0,NA(),SUMIFS(tblAcctSummary[Begin_Balance_Base],tblAcctSummary[Account_ID],A129)),0),0))</f>
        <v/>
      </c>
    </row>
    <row r="130">
      <c r="A130" s="5">
        <f>IFERROR(INDEX(tblAccounts[Account_ID],127),"")</f>
        <v/>
      </c>
      <c r="B130" s="5">
        <f>IF(A130="","",IFERROR(XLOOKUP(A130,tblAccounts[Account_ID],tblAccounts[Account_Name],""),""))</f>
        <v/>
      </c>
      <c r="C130" s="5">
        <f>IF(A130="","",IFERROR(XLOOKUP(A130,tblAccounts[Account_ID],tblAccounts[Household_ID],""),""))</f>
        <v/>
      </c>
      <c r="D130" s="5">
        <f>IF(A130="","",IF(IFERROR(XLOOKUP(A130,tblAccounts[Account_ID],tblAccounts[Include],FALSE),FALSE),SUMIFS(tblAcctSummary[Begin_Balance_Base],tblAcctSummary[Account_ID],A130),0))</f>
        <v/>
      </c>
      <c r="E130" s="5">
        <f>IF(A130="","",IF(IFERROR(XLOOKUP(A130,tblAccounts[Account_ID],tblAccounts[Include],FALSE),FALSE),SUMIFS(tblAcctSummary[End_Balance_Base],tblAcctSummary[Account_ID],A130),0))</f>
        <v/>
      </c>
      <c r="F130" s="5">
        <f>IF(A130="","",IF(IFERROR(XLOOKUP(A130,tblAccounts[Account_ID],tblAccounts[Include],FALSE),FALSE),SUMIFS(tblAcctSummary[Net_Contrib_Base],tblAcctSummary[Account_ID],A130),0))</f>
        <v/>
      </c>
      <c r="G130" s="5">
        <f>IF(A130="","",IF(IFERROR(XLOOKUP(A130,tblAccounts[Account_ID],tblAccounts[Include],FALSE),FALSE),SUMIFS(tblAcctSummary[Income_Interest_Base],tblAcctSummary[Account_ID],A130),0))</f>
        <v/>
      </c>
      <c r="H130" s="5">
        <f>IF(A130="","",IF(IFERROR(XLOOKUP(A130,tblAccounts[Account_ID],tblAccounts[Include],FALSE),FALSE),SUMIFS(tblAcctSummary[Income_Dividends_Base],tblAcctSummary[Account_ID],A130),0))</f>
        <v/>
      </c>
      <c r="I130" s="5">
        <f>IF(A130="","",IF(IFERROR(XLOOKUP(A130,tblAccounts[Account_ID],tblAccounts[Include],FALSE),FALSE),SUMIFS(tblAcctSummary[Income_Other_Base],tblAcctSummary[Account_ID],A130),0))</f>
        <v/>
      </c>
      <c r="J130" s="5">
        <f>IF(A130="","",SUM(G130:I130))</f>
        <v/>
      </c>
      <c r="K130" s="5">
        <f>IF(A130="","",IF(IFERROR(XLOOKUP(A130,tblAccounts[Account_ID],tblAccounts[Include],FALSE),FALSE),SUMIFS(tblAcctSummary[Realized_GL_Base],tblAcctSummary[Account_ID],A130),0))</f>
        <v/>
      </c>
      <c r="L130" s="5">
        <f>IF(A130="","",IF(IFERROR(XLOOKUP(A130,tblAccounts[Account_ID],tblAccounts[Include],FALSE),FALSE),SUMIFS(tblAcctSummary[Fees_Base],tblAcctSummary[Account_ID],A130),0))</f>
        <v/>
      </c>
      <c r="M130" s="5">
        <f>IF(A130="","",IF(IFERROR(XLOOKUP(A130,tblAccounts[Account_ID],tblAccounts[Include],FALSE),FALSE),SUMIFS(tblAcctSummary[Taxes_Base],tblAcctSummary[Account_ID],A130),0))</f>
        <v/>
      </c>
      <c r="N130" s="5">
        <f>IF(A130="","",IF(IFERROR(XLOOKUP(A130,tblAccounts[Account_ID],tblAccounts[Include],FALSE),FALSE),IFERROR(SUMPRODUCT(tblAcctSummary[Return_Period],tblAcctSummary[Begin_Balance_Base],--(tblAcctSummary[Account_ID]=A130))/IF(SUMIFS(tblAcctSummary[Begin_Balance_Base],tblAcctSummary[Account_ID],A130)=0,NA(),SUMIFS(tblAcctSummary[Begin_Balance_Base],tblAcctSummary[Account_ID],A130)),0),0))</f>
        <v/>
      </c>
    </row>
    <row r="131">
      <c r="A131" s="5">
        <f>IFERROR(INDEX(tblAccounts[Account_ID],128),"")</f>
        <v/>
      </c>
      <c r="B131" s="5">
        <f>IF(A131="","",IFERROR(XLOOKUP(A131,tblAccounts[Account_ID],tblAccounts[Account_Name],""),""))</f>
        <v/>
      </c>
      <c r="C131" s="5">
        <f>IF(A131="","",IFERROR(XLOOKUP(A131,tblAccounts[Account_ID],tblAccounts[Household_ID],""),""))</f>
        <v/>
      </c>
      <c r="D131" s="5">
        <f>IF(A131="","",IF(IFERROR(XLOOKUP(A131,tblAccounts[Account_ID],tblAccounts[Include],FALSE),FALSE),SUMIFS(tblAcctSummary[Begin_Balance_Base],tblAcctSummary[Account_ID],A131),0))</f>
        <v/>
      </c>
      <c r="E131" s="5">
        <f>IF(A131="","",IF(IFERROR(XLOOKUP(A131,tblAccounts[Account_ID],tblAccounts[Include],FALSE),FALSE),SUMIFS(tblAcctSummary[End_Balance_Base],tblAcctSummary[Account_ID],A131),0))</f>
        <v/>
      </c>
      <c r="F131" s="5">
        <f>IF(A131="","",IF(IFERROR(XLOOKUP(A131,tblAccounts[Account_ID],tblAccounts[Include],FALSE),FALSE),SUMIFS(tblAcctSummary[Net_Contrib_Base],tblAcctSummary[Account_ID],A131),0))</f>
        <v/>
      </c>
      <c r="G131" s="5">
        <f>IF(A131="","",IF(IFERROR(XLOOKUP(A131,tblAccounts[Account_ID],tblAccounts[Include],FALSE),FALSE),SUMIFS(tblAcctSummary[Income_Interest_Base],tblAcctSummary[Account_ID],A131),0))</f>
        <v/>
      </c>
      <c r="H131" s="5">
        <f>IF(A131="","",IF(IFERROR(XLOOKUP(A131,tblAccounts[Account_ID],tblAccounts[Include],FALSE),FALSE),SUMIFS(tblAcctSummary[Income_Dividends_Base],tblAcctSummary[Account_ID],A131),0))</f>
        <v/>
      </c>
      <c r="I131" s="5">
        <f>IF(A131="","",IF(IFERROR(XLOOKUP(A131,tblAccounts[Account_ID],tblAccounts[Include],FALSE),FALSE),SUMIFS(tblAcctSummary[Income_Other_Base],tblAcctSummary[Account_ID],A131),0))</f>
        <v/>
      </c>
      <c r="J131" s="5">
        <f>IF(A131="","",SUM(G131:I131))</f>
        <v/>
      </c>
      <c r="K131" s="5">
        <f>IF(A131="","",IF(IFERROR(XLOOKUP(A131,tblAccounts[Account_ID],tblAccounts[Include],FALSE),FALSE),SUMIFS(tblAcctSummary[Realized_GL_Base],tblAcctSummary[Account_ID],A131),0))</f>
        <v/>
      </c>
      <c r="L131" s="5">
        <f>IF(A131="","",IF(IFERROR(XLOOKUP(A131,tblAccounts[Account_ID],tblAccounts[Include],FALSE),FALSE),SUMIFS(tblAcctSummary[Fees_Base],tblAcctSummary[Account_ID],A131),0))</f>
        <v/>
      </c>
      <c r="M131" s="5">
        <f>IF(A131="","",IF(IFERROR(XLOOKUP(A131,tblAccounts[Account_ID],tblAccounts[Include],FALSE),FALSE),SUMIFS(tblAcctSummary[Taxes_Base],tblAcctSummary[Account_ID],A131),0))</f>
        <v/>
      </c>
      <c r="N131" s="5">
        <f>IF(A131="","",IF(IFERROR(XLOOKUP(A131,tblAccounts[Account_ID],tblAccounts[Include],FALSE),FALSE),IFERROR(SUMPRODUCT(tblAcctSummary[Return_Period],tblAcctSummary[Begin_Balance_Base],--(tblAcctSummary[Account_ID]=A131))/IF(SUMIFS(tblAcctSummary[Begin_Balance_Base],tblAcctSummary[Account_ID],A131)=0,NA(),SUMIFS(tblAcctSummary[Begin_Balance_Base],tblAcctSummary[Account_ID],A131)),0),0))</f>
        <v/>
      </c>
    </row>
    <row r="132">
      <c r="A132" s="5">
        <f>IFERROR(INDEX(tblAccounts[Account_ID],129),"")</f>
        <v/>
      </c>
      <c r="B132" s="5">
        <f>IF(A132="","",IFERROR(XLOOKUP(A132,tblAccounts[Account_ID],tblAccounts[Account_Name],""),""))</f>
        <v/>
      </c>
      <c r="C132" s="5">
        <f>IF(A132="","",IFERROR(XLOOKUP(A132,tblAccounts[Account_ID],tblAccounts[Household_ID],""),""))</f>
        <v/>
      </c>
      <c r="D132" s="5">
        <f>IF(A132="","",IF(IFERROR(XLOOKUP(A132,tblAccounts[Account_ID],tblAccounts[Include],FALSE),FALSE),SUMIFS(tblAcctSummary[Begin_Balance_Base],tblAcctSummary[Account_ID],A132),0))</f>
        <v/>
      </c>
      <c r="E132" s="5">
        <f>IF(A132="","",IF(IFERROR(XLOOKUP(A132,tblAccounts[Account_ID],tblAccounts[Include],FALSE),FALSE),SUMIFS(tblAcctSummary[End_Balance_Base],tblAcctSummary[Account_ID],A132),0))</f>
        <v/>
      </c>
      <c r="F132" s="5">
        <f>IF(A132="","",IF(IFERROR(XLOOKUP(A132,tblAccounts[Account_ID],tblAccounts[Include],FALSE),FALSE),SUMIFS(tblAcctSummary[Net_Contrib_Base],tblAcctSummary[Account_ID],A132),0))</f>
        <v/>
      </c>
      <c r="G132" s="5">
        <f>IF(A132="","",IF(IFERROR(XLOOKUP(A132,tblAccounts[Account_ID],tblAccounts[Include],FALSE),FALSE),SUMIFS(tblAcctSummary[Income_Interest_Base],tblAcctSummary[Account_ID],A132),0))</f>
        <v/>
      </c>
      <c r="H132" s="5">
        <f>IF(A132="","",IF(IFERROR(XLOOKUP(A132,tblAccounts[Account_ID],tblAccounts[Include],FALSE),FALSE),SUMIFS(tblAcctSummary[Income_Dividends_Base],tblAcctSummary[Account_ID],A132),0))</f>
        <v/>
      </c>
      <c r="I132" s="5">
        <f>IF(A132="","",IF(IFERROR(XLOOKUP(A132,tblAccounts[Account_ID],tblAccounts[Include],FALSE),FALSE),SUMIFS(tblAcctSummary[Income_Other_Base],tblAcctSummary[Account_ID],A132),0))</f>
        <v/>
      </c>
      <c r="J132" s="5">
        <f>IF(A132="","",SUM(G132:I132))</f>
        <v/>
      </c>
      <c r="K132" s="5">
        <f>IF(A132="","",IF(IFERROR(XLOOKUP(A132,tblAccounts[Account_ID],tblAccounts[Include],FALSE),FALSE),SUMIFS(tblAcctSummary[Realized_GL_Base],tblAcctSummary[Account_ID],A132),0))</f>
        <v/>
      </c>
      <c r="L132" s="5">
        <f>IF(A132="","",IF(IFERROR(XLOOKUP(A132,tblAccounts[Account_ID],tblAccounts[Include],FALSE),FALSE),SUMIFS(tblAcctSummary[Fees_Base],tblAcctSummary[Account_ID],A132),0))</f>
        <v/>
      </c>
      <c r="M132" s="5">
        <f>IF(A132="","",IF(IFERROR(XLOOKUP(A132,tblAccounts[Account_ID],tblAccounts[Include],FALSE),FALSE),SUMIFS(tblAcctSummary[Taxes_Base],tblAcctSummary[Account_ID],A132),0))</f>
        <v/>
      </c>
      <c r="N132" s="5">
        <f>IF(A132="","",IF(IFERROR(XLOOKUP(A132,tblAccounts[Account_ID],tblAccounts[Include],FALSE),FALSE),IFERROR(SUMPRODUCT(tblAcctSummary[Return_Period],tblAcctSummary[Begin_Balance_Base],--(tblAcctSummary[Account_ID]=A132))/IF(SUMIFS(tblAcctSummary[Begin_Balance_Base],tblAcctSummary[Account_ID],A132)=0,NA(),SUMIFS(tblAcctSummary[Begin_Balance_Base],tblAcctSummary[Account_ID],A132)),0),0))</f>
        <v/>
      </c>
    </row>
    <row r="133">
      <c r="A133" s="5">
        <f>IFERROR(INDEX(tblAccounts[Account_ID],130),"")</f>
        <v/>
      </c>
      <c r="B133" s="5">
        <f>IF(A133="","",IFERROR(XLOOKUP(A133,tblAccounts[Account_ID],tblAccounts[Account_Name],""),""))</f>
        <v/>
      </c>
      <c r="C133" s="5">
        <f>IF(A133="","",IFERROR(XLOOKUP(A133,tblAccounts[Account_ID],tblAccounts[Household_ID],""),""))</f>
        <v/>
      </c>
      <c r="D133" s="5">
        <f>IF(A133="","",IF(IFERROR(XLOOKUP(A133,tblAccounts[Account_ID],tblAccounts[Include],FALSE),FALSE),SUMIFS(tblAcctSummary[Begin_Balance_Base],tblAcctSummary[Account_ID],A133),0))</f>
        <v/>
      </c>
      <c r="E133" s="5">
        <f>IF(A133="","",IF(IFERROR(XLOOKUP(A133,tblAccounts[Account_ID],tblAccounts[Include],FALSE),FALSE),SUMIFS(tblAcctSummary[End_Balance_Base],tblAcctSummary[Account_ID],A133),0))</f>
        <v/>
      </c>
      <c r="F133" s="5">
        <f>IF(A133="","",IF(IFERROR(XLOOKUP(A133,tblAccounts[Account_ID],tblAccounts[Include],FALSE),FALSE),SUMIFS(tblAcctSummary[Net_Contrib_Base],tblAcctSummary[Account_ID],A133),0))</f>
        <v/>
      </c>
      <c r="G133" s="5">
        <f>IF(A133="","",IF(IFERROR(XLOOKUP(A133,tblAccounts[Account_ID],tblAccounts[Include],FALSE),FALSE),SUMIFS(tblAcctSummary[Income_Interest_Base],tblAcctSummary[Account_ID],A133),0))</f>
        <v/>
      </c>
      <c r="H133" s="5">
        <f>IF(A133="","",IF(IFERROR(XLOOKUP(A133,tblAccounts[Account_ID],tblAccounts[Include],FALSE),FALSE),SUMIFS(tblAcctSummary[Income_Dividends_Base],tblAcctSummary[Account_ID],A133),0))</f>
        <v/>
      </c>
      <c r="I133" s="5">
        <f>IF(A133="","",IF(IFERROR(XLOOKUP(A133,tblAccounts[Account_ID],tblAccounts[Include],FALSE),FALSE),SUMIFS(tblAcctSummary[Income_Other_Base],tblAcctSummary[Account_ID],A133),0))</f>
        <v/>
      </c>
      <c r="J133" s="5">
        <f>IF(A133="","",SUM(G133:I133))</f>
        <v/>
      </c>
      <c r="K133" s="5">
        <f>IF(A133="","",IF(IFERROR(XLOOKUP(A133,tblAccounts[Account_ID],tblAccounts[Include],FALSE),FALSE),SUMIFS(tblAcctSummary[Realized_GL_Base],tblAcctSummary[Account_ID],A133),0))</f>
        <v/>
      </c>
      <c r="L133" s="5">
        <f>IF(A133="","",IF(IFERROR(XLOOKUP(A133,tblAccounts[Account_ID],tblAccounts[Include],FALSE),FALSE),SUMIFS(tblAcctSummary[Fees_Base],tblAcctSummary[Account_ID],A133),0))</f>
        <v/>
      </c>
      <c r="M133" s="5">
        <f>IF(A133="","",IF(IFERROR(XLOOKUP(A133,tblAccounts[Account_ID],tblAccounts[Include],FALSE),FALSE),SUMIFS(tblAcctSummary[Taxes_Base],tblAcctSummary[Account_ID],A133),0))</f>
        <v/>
      </c>
      <c r="N133" s="5">
        <f>IF(A133="","",IF(IFERROR(XLOOKUP(A133,tblAccounts[Account_ID],tblAccounts[Include],FALSE),FALSE),IFERROR(SUMPRODUCT(tblAcctSummary[Return_Period],tblAcctSummary[Begin_Balance_Base],--(tblAcctSummary[Account_ID]=A133))/IF(SUMIFS(tblAcctSummary[Begin_Balance_Base],tblAcctSummary[Account_ID],A133)=0,NA(),SUMIFS(tblAcctSummary[Begin_Balance_Base],tblAcctSummary[Account_ID],A133)),0),0))</f>
        <v/>
      </c>
    </row>
    <row r="134">
      <c r="A134" s="5">
        <f>IFERROR(INDEX(tblAccounts[Account_ID],131),"")</f>
        <v/>
      </c>
      <c r="B134" s="5">
        <f>IF(A134="","",IFERROR(XLOOKUP(A134,tblAccounts[Account_ID],tblAccounts[Account_Name],""),""))</f>
        <v/>
      </c>
      <c r="C134" s="5">
        <f>IF(A134="","",IFERROR(XLOOKUP(A134,tblAccounts[Account_ID],tblAccounts[Household_ID],""),""))</f>
        <v/>
      </c>
      <c r="D134" s="5">
        <f>IF(A134="","",IF(IFERROR(XLOOKUP(A134,tblAccounts[Account_ID],tblAccounts[Include],FALSE),FALSE),SUMIFS(tblAcctSummary[Begin_Balance_Base],tblAcctSummary[Account_ID],A134),0))</f>
        <v/>
      </c>
      <c r="E134" s="5">
        <f>IF(A134="","",IF(IFERROR(XLOOKUP(A134,tblAccounts[Account_ID],tblAccounts[Include],FALSE),FALSE),SUMIFS(tblAcctSummary[End_Balance_Base],tblAcctSummary[Account_ID],A134),0))</f>
        <v/>
      </c>
      <c r="F134" s="5">
        <f>IF(A134="","",IF(IFERROR(XLOOKUP(A134,tblAccounts[Account_ID],tblAccounts[Include],FALSE),FALSE),SUMIFS(tblAcctSummary[Net_Contrib_Base],tblAcctSummary[Account_ID],A134),0))</f>
        <v/>
      </c>
      <c r="G134" s="5">
        <f>IF(A134="","",IF(IFERROR(XLOOKUP(A134,tblAccounts[Account_ID],tblAccounts[Include],FALSE),FALSE),SUMIFS(tblAcctSummary[Income_Interest_Base],tblAcctSummary[Account_ID],A134),0))</f>
        <v/>
      </c>
      <c r="H134" s="5">
        <f>IF(A134="","",IF(IFERROR(XLOOKUP(A134,tblAccounts[Account_ID],tblAccounts[Include],FALSE),FALSE),SUMIFS(tblAcctSummary[Income_Dividends_Base],tblAcctSummary[Account_ID],A134),0))</f>
        <v/>
      </c>
      <c r="I134" s="5">
        <f>IF(A134="","",IF(IFERROR(XLOOKUP(A134,tblAccounts[Account_ID],tblAccounts[Include],FALSE),FALSE),SUMIFS(tblAcctSummary[Income_Other_Base],tblAcctSummary[Account_ID],A134),0))</f>
        <v/>
      </c>
      <c r="J134" s="5">
        <f>IF(A134="","",SUM(G134:I134))</f>
        <v/>
      </c>
      <c r="K134" s="5">
        <f>IF(A134="","",IF(IFERROR(XLOOKUP(A134,tblAccounts[Account_ID],tblAccounts[Include],FALSE),FALSE),SUMIFS(tblAcctSummary[Realized_GL_Base],tblAcctSummary[Account_ID],A134),0))</f>
        <v/>
      </c>
      <c r="L134" s="5">
        <f>IF(A134="","",IF(IFERROR(XLOOKUP(A134,tblAccounts[Account_ID],tblAccounts[Include],FALSE),FALSE),SUMIFS(tblAcctSummary[Fees_Base],tblAcctSummary[Account_ID],A134),0))</f>
        <v/>
      </c>
      <c r="M134" s="5">
        <f>IF(A134="","",IF(IFERROR(XLOOKUP(A134,tblAccounts[Account_ID],tblAccounts[Include],FALSE),FALSE),SUMIFS(tblAcctSummary[Taxes_Base],tblAcctSummary[Account_ID],A134),0))</f>
        <v/>
      </c>
      <c r="N134" s="5">
        <f>IF(A134="","",IF(IFERROR(XLOOKUP(A134,tblAccounts[Account_ID],tblAccounts[Include],FALSE),FALSE),IFERROR(SUMPRODUCT(tblAcctSummary[Return_Period],tblAcctSummary[Begin_Balance_Base],--(tblAcctSummary[Account_ID]=A134))/IF(SUMIFS(tblAcctSummary[Begin_Balance_Base],tblAcctSummary[Account_ID],A134)=0,NA(),SUMIFS(tblAcctSummary[Begin_Balance_Base],tblAcctSummary[Account_ID],A134)),0),0))</f>
        <v/>
      </c>
    </row>
    <row r="135">
      <c r="A135" s="5">
        <f>IFERROR(INDEX(tblAccounts[Account_ID],132),"")</f>
        <v/>
      </c>
      <c r="B135" s="5">
        <f>IF(A135="","",IFERROR(XLOOKUP(A135,tblAccounts[Account_ID],tblAccounts[Account_Name],""),""))</f>
        <v/>
      </c>
      <c r="C135" s="5">
        <f>IF(A135="","",IFERROR(XLOOKUP(A135,tblAccounts[Account_ID],tblAccounts[Household_ID],""),""))</f>
        <v/>
      </c>
      <c r="D135" s="5">
        <f>IF(A135="","",IF(IFERROR(XLOOKUP(A135,tblAccounts[Account_ID],tblAccounts[Include],FALSE),FALSE),SUMIFS(tblAcctSummary[Begin_Balance_Base],tblAcctSummary[Account_ID],A135),0))</f>
        <v/>
      </c>
      <c r="E135" s="5">
        <f>IF(A135="","",IF(IFERROR(XLOOKUP(A135,tblAccounts[Account_ID],tblAccounts[Include],FALSE),FALSE),SUMIFS(tblAcctSummary[End_Balance_Base],tblAcctSummary[Account_ID],A135),0))</f>
        <v/>
      </c>
      <c r="F135" s="5">
        <f>IF(A135="","",IF(IFERROR(XLOOKUP(A135,tblAccounts[Account_ID],tblAccounts[Include],FALSE),FALSE),SUMIFS(tblAcctSummary[Net_Contrib_Base],tblAcctSummary[Account_ID],A135),0))</f>
        <v/>
      </c>
      <c r="G135" s="5">
        <f>IF(A135="","",IF(IFERROR(XLOOKUP(A135,tblAccounts[Account_ID],tblAccounts[Include],FALSE),FALSE),SUMIFS(tblAcctSummary[Income_Interest_Base],tblAcctSummary[Account_ID],A135),0))</f>
        <v/>
      </c>
      <c r="H135" s="5">
        <f>IF(A135="","",IF(IFERROR(XLOOKUP(A135,tblAccounts[Account_ID],tblAccounts[Include],FALSE),FALSE),SUMIFS(tblAcctSummary[Income_Dividends_Base],tblAcctSummary[Account_ID],A135),0))</f>
        <v/>
      </c>
      <c r="I135" s="5">
        <f>IF(A135="","",IF(IFERROR(XLOOKUP(A135,tblAccounts[Account_ID],tblAccounts[Include],FALSE),FALSE),SUMIFS(tblAcctSummary[Income_Other_Base],tblAcctSummary[Account_ID],A135),0))</f>
        <v/>
      </c>
      <c r="J135" s="5">
        <f>IF(A135="","",SUM(G135:I135))</f>
        <v/>
      </c>
      <c r="K135" s="5">
        <f>IF(A135="","",IF(IFERROR(XLOOKUP(A135,tblAccounts[Account_ID],tblAccounts[Include],FALSE),FALSE),SUMIFS(tblAcctSummary[Realized_GL_Base],tblAcctSummary[Account_ID],A135),0))</f>
        <v/>
      </c>
      <c r="L135" s="5">
        <f>IF(A135="","",IF(IFERROR(XLOOKUP(A135,tblAccounts[Account_ID],tblAccounts[Include],FALSE),FALSE),SUMIFS(tblAcctSummary[Fees_Base],tblAcctSummary[Account_ID],A135),0))</f>
        <v/>
      </c>
      <c r="M135" s="5">
        <f>IF(A135="","",IF(IFERROR(XLOOKUP(A135,tblAccounts[Account_ID],tblAccounts[Include],FALSE),FALSE),SUMIFS(tblAcctSummary[Taxes_Base],tblAcctSummary[Account_ID],A135),0))</f>
        <v/>
      </c>
      <c r="N135" s="5">
        <f>IF(A135="","",IF(IFERROR(XLOOKUP(A135,tblAccounts[Account_ID],tblAccounts[Include],FALSE),FALSE),IFERROR(SUMPRODUCT(tblAcctSummary[Return_Period],tblAcctSummary[Begin_Balance_Base],--(tblAcctSummary[Account_ID]=A135))/IF(SUMIFS(tblAcctSummary[Begin_Balance_Base],tblAcctSummary[Account_ID],A135)=0,NA(),SUMIFS(tblAcctSummary[Begin_Balance_Base],tblAcctSummary[Account_ID],A135)),0),0))</f>
        <v/>
      </c>
    </row>
    <row r="136">
      <c r="A136" s="5">
        <f>IFERROR(INDEX(tblAccounts[Account_ID],133),"")</f>
        <v/>
      </c>
      <c r="B136" s="5">
        <f>IF(A136="","",IFERROR(XLOOKUP(A136,tblAccounts[Account_ID],tblAccounts[Account_Name],""),""))</f>
        <v/>
      </c>
      <c r="C136" s="5">
        <f>IF(A136="","",IFERROR(XLOOKUP(A136,tblAccounts[Account_ID],tblAccounts[Household_ID],""),""))</f>
        <v/>
      </c>
      <c r="D136" s="5">
        <f>IF(A136="","",IF(IFERROR(XLOOKUP(A136,tblAccounts[Account_ID],tblAccounts[Include],FALSE),FALSE),SUMIFS(tblAcctSummary[Begin_Balance_Base],tblAcctSummary[Account_ID],A136),0))</f>
        <v/>
      </c>
      <c r="E136" s="5">
        <f>IF(A136="","",IF(IFERROR(XLOOKUP(A136,tblAccounts[Account_ID],tblAccounts[Include],FALSE),FALSE),SUMIFS(tblAcctSummary[End_Balance_Base],tblAcctSummary[Account_ID],A136),0))</f>
        <v/>
      </c>
      <c r="F136" s="5">
        <f>IF(A136="","",IF(IFERROR(XLOOKUP(A136,tblAccounts[Account_ID],tblAccounts[Include],FALSE),FALSE),SUMIFS(tblAcctSummary[Net_Contrib_Base],tblAcctSummary[Account_ID],A136),0))</f>
        <v/>
      </c>
      <c r="G136" s="5">
        <f>IF(A136="","",IF(IFERROR(XLOOKUP(A136,tblAccounts[Account_ID],tblAccounts[Include],FALSE),FALSE),SUMIFS(tblAcctSummary[Income_Interest_Base],tblAcctSummary[Account_ID],A136),0))</f>
        <v/>
      </c>
      <c r="H136" s="5">
        <f>IF(A136="","",IF(IFERROR(XLOOKUP(A136,tblAccounts[Account_ID],tblAccounts[Include],FALSE),FALSE),SUMIFS(tblAcctSummary[Income_Dividends_Base],tblAcctSummary[Account_ID],A136),0))</f>
        <v/>
      </c>
      <c r="I136" s="5">
        <f>IF(A136="","",IF(IFERROR(XLOOKUP(A136,tblAccounts[Account_ID],tblAccounts[Include],FALSE),FALSE),SUMIFS(tblAcctSummary[Income_Other_Base],tblAcctSummary[Account_ID],A136),0))</f>
        <v/>
      </c>
      <c r="J136" s="5">
        <f>IF(A136="","",SUM(G136:I136))</f>
        <v/>
      </c>
      <c r="K136" s="5">
        <f>IF(A136="","",IF(IFERROR(XLOOKUP(A136,tblAccounts[Account_ID],tblAccounts[Include],FALSE),FALSE),SUMIFS(tblAcctSummary[Realized_GL_Base],tblAcctSummary[Account_ID],A136),0))</f>
        <v/>
      </c>
      <c r="L136" s="5">
        <f>IF(A136="","",IF(IFERROR(XLOOKUP(A136,tblAccounts[Account_ID],tblAccounts[Include],FALSE),FALSE),SUMIFS(tblAcctSummary[Fees_Base],tblAcctSummary[Account_ID],A136),0))</f>
        <v/>
      </c>
      <c r="M136" s="5">
        <f>IF(A136="","",IF(IFERROR(XLOOKUP(A136,tblAccounts[Account_ID],tblAccounts[Include],FALSE),FALSE),SUMIFS(tblAcctSummary[Taxes_Base],tblAcctSummary[Account_ID],A136),0))</f>
        <v/>
      </c>
      <c r="N136" s="5">
        <f>IF(A136="","",IF(IFERROR(XLOOKUP(A136,tblAccounts[Account_ID],tblAccounts[Include],FALSE),FALSE),IFERROR(SUMPRODUCT(tblAcctSummary[Return_Period],tblAcctSummary[Begin_Balance_Base],--(tblAcctSummary[Account_ID]=A136))/IF(SUMIFS(tblAcctSummary[Begin_Balance_Base],tblAcctSummary[Account_ID],A136)=0,NA(),SUMIFS(tblAcctSummary[Begin_Balance_Base],tblAcctSummary[Account_ID],A136)),0),0))</f>
        <v/>
      </c>
    </row>
    <row r="137">
      <c r="A137" s="5">
        <f>IFERROR(INDEX(tblAccounts[Account_ID],134),"")</f>
        <v/>
      </c>
      <c r="B137" s="5">
        <f>IF(A137="","",IFERROR(XLOOKUP(A137,tblAccounts[Account_ID],tblAccounts[Account_Name],""),""))</f>
        <v/>
      </c>
      <c r="C137" s="5">
        <f>IF(A137="","",IFERROR(XLOOKUP(A137,tblAccounts[Account_ID],tblAccounts[Household_ID],""),""))</f>
        <v/>
      </c>
      <c r="D137" s="5">
        <f>IF(A137="","",IF(IFERROR(XLOOKUP(A137,tblAccounts[Account_ID],tblAccounts[Include],FALSE),FALSE),SUMIFS(tblAcctSummary[Begin_Balance_Base],tblAcctSummary[Account_ID],A137),0))</f>
        <v/>
      </c>
      <c r="E137" s="5">
        <f>IF(A137="","",IF(IFERROR(XLOOKUP(A137,tblAccounts[Account_ID],tblAccounts[Include],FALSE),FALSE),SUMIFS(tblAcctSummary[End_Balance_Base],tblAcctSummary[Account_ID],A137),0))</f>
        <v/>
      </c>
      <c r="F137" s="5">
        <f>IF(A137="","",IF(IFERROR(XLOOKUP(A137,tblAccounts[Account_ID],tblAccounts[Include],FALSE),FALSE),SUMIFS(tblAcctSummary[Net_Contrib_Base],tblAcctSummary[Account_ID],A137),0))</f>
        <v/>
      </c>
      <c r="G137" s="5">
        <f>IF(A137="","",IF(IFERROR(XLOOKUP(A137,tblAccounts[Account_ID],tblAccounts[Include],FALSE),FALSE),SUMIFS(tblAcctSummary[Income_Interest_Base],tblAcctSummary[Account_ID],A137),0))</f>
        <v/>
      </c>
      <c r="H137" s="5">
        <f>IF(A137="","",IF(IFERROR(XLOOKUP(A137,tblAccounts[Account_ID],tblAccounts[Include],FALSE),FALSE),SUMIFS(tblAcctSummary[Income_Dividends_Base],tblAcctSummary[Account_ID],A137),0))</f>
        <v/>
      </c>
      <c r="I137" s="5">
        <f>IF(A137="","",IF(IFERROR(XLOOKUP(A137,tblAccounts[Account_ID],tblAccounts[Include],FALSE),FALSE),SUMIFS(tblAcctSummary[Income_Other_Base],tblAcctSummary[Account_ID],A137),0))</f>
        <v/>
      </c>
      <c r="J137" s="5">
        <f>IF(A137="","",SUM(G137:I137))</f>
        <v/>
      </c>
      <c r="K137" s="5">
        <f>IF(A137="","",IF(IFERROR(XLOOKUP(A137,tblAccounts[Account_ID],tblAccounts[Include],FALSE),FALSE),SUMIFS(tblAcctSummary[Realized_GL_Base],tblAcctSummary[Account_ID],A137),0))</f>
        <v/>
      </c>
      <c r="L137" s="5">
        <f>IF(A137="","",IF(IFERROR(XLOOKUP(A137,tblAccounts[Account_ID],tblAccounts[Include],FALSE),FALSE),SUMIFS(tblAcctSummary[Fees_Base],tblAcctSummary[Account_ID],A137),0))</f>
        <v/>
      </c>
      <c r="M137" s="5">
        <f>IF(A137="","",IF(IFERROR(XLOOKUP(A137,tblAccounts[Account_ID],tblAccounts[Include],FALSE),FALSE),SUMIFS(tblAcctSummary[Taxes_Base],tblAcctSummary[Account_ID],A137),0))</f>
        <v/>
      </c>
      <c r="N137" s="5">
        <f>IF(A137="","",IF(IFERROR(XLOOKUP(A137,tblAccounts[Account_ID],tblAccounts[Include],FALSE),FALSE),IFERROR(SUMPRODUCT(tblAcctSummary[Return_Period],tblAcctSummary[Begin_Balance_Base],--(tblAcctSummary[Account_ID]=A137))/IF(SUMIFS(tblAcctSummary[Begin_Balance_Base],tblAcctSummary[Account_ID],A137)=0,NA(),SUMIFS(tblAcctSummary[Begin_Balance_Base],tblAcctSummary[Account_ID],A137)),0),0))</f>
        <v/>
      </c>
    </row>
    <row r="138">
      <c r="A138" s="5">
        <f>IFERROR(INDEX(tblAccounts[Account_ID],135),"")</f>
        <v/>
      </c>
      <c r="B138" s="5">
        <f>IF(A138="","",IFERROR(XLOOKUP(A138,tblAccounts[Account_ID],tblAccounts[Account_Name],""),""))</f>
        <v/>
      </c>
      <c r="C138" s="5">
        <f>IF(A138="","",IFERROR(XLOOKUP(A138,tblAccounts[Account_ID],tblAccounts[Household_ID],""),""))</f>
        <v/>
      </c>
      <c r="D138" s="5">
        <f>IF(A138="","",IF(IFERROR(XLOOKUP(A138,tblAccounts[Account_ID],tblAccounts[Include],FALSE),FALSE),SUMIFS(tblAcctSummary[Begin_Balance_Base],tblAcctSummary[Account_ID],A138),0))</f>
        <v/>
      </c>
      <c r="E138" s="5">
        <f>IF(A138="","",IF(IFERROR(XLOOKUP(A138,tblAccounts[Account_ID],tblAccounts[Include],FALSE),FALSE),SUMIFS(tblAcctSummary[End_Balance_Base],tblAcctSummary[Account_ID],A138),0))</f>
        <v/>
      </c>
      <c r="F138" s="5">
        <f>IF(A138="","",IF(IFERROR(XLOOKUP(A138,tblAccounts[Account_ID],tblAccounts[Include],FALSE),FALSE),SUMIFS(tblAcctSummary[Net_Contrib_Base],tblAcctSummary[Account_ID],A138),0))</f>
        <v/>
      </c>
      <c r="G138" s="5">
        <f>IF(A138="","",IF(IFERROR(XLOOKUP(A138,tblAccounts[Account_ID],tblAccounts[Include],FALSE),FALSE),SUMIFS(tblAcctSummary[Income_Interest_Base],tblAcctSummary[Account_ID],A138),0))</f>
        <v/>
      </c>
      <c r="H138" s="5">
        <f>IF(A138="","",IF(IFERROR(XLOOKUP(A138,tblAccounts[Account_ID],tblAccounts[Include],FALSE),FALSE),SUMIFS(tblAcctSummary[Income_Dividends_Base],tblAcctSummary[Account_ID],A138),0))</f>
        <v/>
      </c>
      <c r="I138" s="5">
        <f>IF(A138="","",IF(IFERROR(XLOOKUP(A138,tblAccounts[Account_ID],tblAccounts[Include],FALSE),FALSE),SUMIFS(tblAcctSummary[Income_Other_Base],tblAcctSummary[Account_ID],A138),0))</f>
        <v/>
      </c>
      <c r="J138" s="5">
        <f>IF(A138="","",SUM(G138:I138))</f>
        <v/>
      </c>
      <c r="K138" s="5">
        <f>IF(A138="","",IF(IFERROR(XLOOKUP(A138,tblAccounts[Account_ID],tblAccounts[Include],FALSE),FALSE),SUMIFS(tblAcctSummary[Realized_GL_Base],tblAcctSummary[Account_ID],A138),0))</f>
        <v/>
      </c>
      <c r="L138" s="5">
        <f>IF(A138="","",IF(IFERROR(XLOOKUP(A138,tblAccounts[Account_ID],tblAccounts[Include],FALSE),FALSE),SUMIFS(tblAcctSummary[Fees_Base],tblAcctSummary[Account_ID],A138),0))</f>
        <v/>
      </c>
      <c r="M138" s="5">
        <f>IF(A138="","",IF(IFERROR(XLOOKUP(A138,tblAccounts[Account_ID],tblAccounts[Include],FALSE),FALSE),SUMIFS(tblAcctSummary[Taxes_Base],tblAcctSummary[Account_ID],A138),0))</f>
        <v/>
      </c>
      <c r="N138" s="5">
        <f>IF(A138="","",IF(IFERROR(XLOOKUP(A138,tblAccounts[Account_ID],tblAccounts[Include],FALSE),FALSE),IFERROR(SUMPRODUCT(tblAcctSummary[Return_Period],tblAcctSummary[Begin_Balance_Base],--(tblAcctSummary[Account_ID]=A138))/IF(SUMIFS(tblAcctSummary[Begin_Balance_Base],tblAcctSummary[Account_ID],A138)=0,NA(),SUMIFS(tblAcctSummary[Begin_Balance_Base],tblAcctSummary[Account_ID],A138)),0),0))</f>
        <v/>
      </c>
    </row>
    <row r="139">
      <c r="A139" s="5">
        <f>IFERROR(INDEX(tblAccounts[Account_ID],136),"")</f>
        <v/>
      </c>
      <c r="B139" s="5">
        <f>IF(A139="","",IFERROR(XLOOKUP(A139,tblAccounts[Account_ID],tblAccounts[Account_Name],""),""))</f>
        <v/>
      </c>
      <c r="C139" s="5">
        <f>IF(A139="","",IFERROR(XLOOKUP(A139,tblAccounts[Account_ID],tblAccounts[Household_ID],""),""))</f>
        <v/>
      </c>
      <c r="D139" s="5">
        <f>IF(A139="","",IF(IFERROR(XLOOKUP(A139,tblAccounts[Account_ID],tblAccounts[Include],FALSE),FALSE),SUMIFS(tblAcctSummary[Begin_Balance_Base],tblAcctSummary[Account_ID],A139),0))</f>
        <v/>
      </c>
      <c r="E139" s="5">
        <f>IF(A139="","",IF(IFERROR(XLOOKUP(A139,tblAccounts[Account_ID],tblAccounts[Include],FALSE),FALSE),SUMIFS(tblAcctSummary[End_Balance_Base],tblAcctSummary[Account_ID],A139),0))</f>
        <v/>
      </c>
      <c r="F139" s="5">
        <f>IF(A139="","",IF(IFERROR(XLOOKUP(A139,tblAccounts[Account_ID],tblAccounts[Include],FALSE),FALSE),SUMIFS(tblAcctSummary[Net_Contrib_Base],tblAcctSummary[Account_ID],A139),0))</f>
        <v/>
      </c>
      <c r="G139" s="5">
        <f>IF(A139="","",IF(IFERROR(XLOOKUP(A139,tblAccounts[Account_ID],tblAccounts[Include],FALSE),FALSE),SUMIFS(tblAcctSummary[Income_Interest_Base],tblAcctSummary[Account_ID],A139),0))</f>
        <v/>
      </c>
      <c r="H139" s="5">
        <f>IF(A139="","",IF(IFERROR(XLOOKUP(A139,tblAccounts[Account_ID],tblAccounts[Include],FALSE),FALSE),SUMIFS(tblAcctSummary[Income_Dividends_Base],tblAcctSummary[Account_ID],A139),0))</f>
        <v/>
      </c>
      <c r="I139" s="5">
        <f>IF(A139="","",IF(IFERROR(XLOOKUP(A139,tblAccounts[Account_ID],tblAccounts[Include],FALSE),FALSE),SUMIFS(tblAcctSummary[Income_Other_Base],tblAcctSummary[Account_ID],A139),0))</f>
        <v/>
      </c>
      <c r="J139" s="5">
        <f>IF(A139="","",SUM(G139:I139))</f>
        <v/>
      </c>
      <c r="K139" s="5">
        <f>IF(A139="","",IF(IFERROR(XLOOKUP(A139,tblAccounts[Account_ID],tblAccounts[Include],FALSE),FALSE),SUMIFS(tblAcctSummary[Realized_GL_Base],tblAcctSummary[Account_ID],A139),0))</f>
        <v/>
      </c>
      <c r="L139" s="5">
        <f>IF(A139="","",IF(IFERROR(XLOOKUP(A139,tblAccounts[Account_ID],tblAccounts[Include],FALSE),FALSE),SUMIFS(tblAcctSummary[Fees_Base],tblAcctSummary[Account_ID],A139),0))</f>
        <v/>
      </c>
      <c r="M139" s="5">
        <f>IF(A139="","",IF(IFERROR(XLOOKUP(A139,tblAccounts[Account_ID],tblAccounts[Include],FALSE),FALSE),SUMIFS(tblAcctSummary[Taxes_Base],tblAcctSummary[Account_ID],A139),0))</f>
        <v/>
      </c>
      <c r="N139" s="5">
        <f>IF(A139="","",IF(IFERROR(XLOOKUP(A139,tblAccounts[Account_ID],tblAccounts[Include],FALSE),FALSE),IFERROR(SUMPRODUCT(tblAcctSummary[Return_Period],tblAcctSummary[Begin_Balance_Base],--(tblAcctSummary[Account_ID]=A139))/IF(SUMIFS(tblAcctSummary[Begin_Balance_Base],tblAcctSummary[Account_ID],A139)=0,NA(),SUMIFS(tblAcctSummary[Begin_Balance_Base],tblAcctSummary[Account_ID],A139)),0),0))</f>
        <v/>
      </c>
    </row>
    <row r="140">
      <c r="A140" s="5">
        <f>IFERROR(INDEX(tblAccounts[Account_ID],137),"")</f>
        <v/>
      </c>
      <c r="B140" s="5">
        <f>IF(A140="","",IFERROR(XLOOKUP(A140,tblAccounts[Account_ID],tblAccounts[Account_Name],""),""))</f>
        <v/>
      </c>
      <c r="C140" s="5">
        <f>IF(A140="","",IFERROR(XLOOKUP(A140,tblAccounts[Account_ID],tblAccounts[Household_ID],""),""))</f>
        <v/>
      </c>
      <c r="D140" s="5">
        <f>IF(A140="","",IF(IFERROR(XLOOKUP(A140,tblAccounts[Account_ID],tblAccounts[Include],FALSE),FALSE),SUMIFS(tblAcctSummary[Begin_Balance_Base],tblAcctSummary[Account_ID],A140),0))</f>
        <v/>
      </c>
      <c r="E140" s="5">
        <f>IF(A140="","",IF(IFERROR(XLOOKUP(A140,tblAccounts[Account_ID],tblAccounts[Include],FALSE),FALSE),SUMIFS(tblAcctSummary[End_Balance_Base],tblAcctSummary[Account_ID],A140),0))</f>
        <v/>
      </c>
      <c r="F140" s="5">
        <f>IF(A140="","",IF(IFERROR(XLOOKUP(A140,tblAccounts[Account_ID],tblAccounts[Include],FALSE),FALSE),SUMIFS(tblAcctSummary[Net_Contrib_Base],tblAcctSummary[Account_ID],A140),0))</f>
        <v/>
      </c>
      <c r="G140" s="5">
        <f>IF(A140="","",IF(IFERROR(XLOOKUP(A140,tblAccounts[Account_ID],tblAccounts[Include],FALSE),FALSE),SUMIFS(tblAcctSummary[Income_Interest_Base],tblAcctSummary[Account_ID],A140),0))</f>
        <v/>
      </c>
      <c r="H140" s="5">
        <f>IF(A140="","",IF(IFERROR(XLOOKUP(A140,tblAccounts[Account_ID],tblAccounts[Include],FALSE),FALSE),SUMIFS(tblAcctSummary[Income_Dividends_Base],tblAcctSummary[Account_ID],A140),0))</f>
        <v/>
      </c>
      <c r="I140" s="5">
        <f>IF(A140="","",IF(IFERROR(XLOOKUP(A140,tblAccounts[Account_ID],tblAccounts[Include],FALSE),FALSE),SUMIFS(tblAcctSummary[Income_Other_Base],tblAcctSummary[Account_ID],A140),0))</f>
        <v/>
      </c>
      <c r="J140" s="5">
        <f>IF(A140="","",SUM(G140:I140))</f>
        <v/>
      </c>
      <c r="K140" s="5">
        <f>IF(A140="","",IF(IFERROR(XLOOKUP(A140,tblAccounts[Account_ID],tblAccounts[Include],FALSE),FALSE),SUMIFS(tblAcctSummary[Realized_GL_Base],tblAcctSummary[Account_ID],A140),0))</f>
        <v/>
      </c>
      <c r="L140" s="5">
        <f>IF(A140="","",IF(IFERROR(XLOOKUP(A140,tblAccounts[Account_ID],tblAccounts[Include],FALSE),FALSE),SUMIFS(tblAcctSummary[Fees_Base],tblAcctSummary[Account_ID],A140),0))</f>
        <v/>
      </c>
      <c r="M140" s="5">
        <f>IF(A140="","",IF(IFERROR(XLOOKUP(A140,tblAccounts[Account_ID],tblAccounts[Include],FALSE),FALSE),SUMIFS(tblAcctSummary[Taxes_Base],tblAcctSummary[Account_ID],A140),0))</f>
        <v/>
      </c>
      <c r="N140" s="5">
        <f>IF(A140="","",IF(IFERROR(XLOOKUP(A140,tblAccounts[Account_ID],tblAccounts[Include],FALSE),FALSE),IFERROR(SUMPRODUCT(tblAcctSummary[Return_Period],tblAcctSummary[Begin_Balance_Base],--(tblAcctSummary[Account_ID]=A140))/IF(SUMIFS(tblAcctSummary[Begin_Balance_Base],tblAcctSummary[Account_ID],A140)=0,NA(),SUMIFS(tblAcctSummary[Begin_Balance_Base],tblAcctSummary[Account_ID],A140)),0),0))</f>
        <v/>
      </c>
    </row>
    <row r="141">
      <c r="A141" s="5">
        <f>IFERROR(INDEX(tblAccounts[Account_ID],138),"")</f>
        <v/>
      </c>
      <c r="B141" s="5">
        <f>IF(A141="","",IFERROR(XLOOKUP(A141,tblAccounts[Account_ID],tblAccounts[Account_Name],""),""))</f>
        <v/>
      </c>
      <c r="C141" s="5">
        <f>IF(A141="","",IFERROR(XLOOKUP(A141,tblAccounts[Account_ID],tblAccounts[Household_ID],""),""))</f>
        <v/>
      </c>
      <c r="D141" s="5">
        <f>IF(A141="","",IF(IFERROR(XLOOKUP(A141,tblAccounts[Account_ID],tblAccounts[Include],FALSE),FALSE),SUMIFS(tblAcctSummary[Begin_Balance_Base],tblAcctSummary[Account_ID],A141),0))</f>
        <v/>
      </c>
      <c r="E141" s="5">
        <f>IF(A141="","",IF(IFERROR(XLOOKUP(A141,tblAccounts[Account_ID],tblAccounts[Include],FALSE),FALSE),SUMIFS(tblAcctSummary[End_Balance_Base],tblAcctSummary[Account_ID],A141),0))</f>
        <v/>
      </c>
      <c r="F141" s="5">
        <f>IF(A141="","",IF(IFERROR(XLOOKUP(A141,tblAccounts[Account_ID],tblAccounts[Include],FALSE),FALSE),SUMIFS(tblAcctSummary[Net_Contrib_Base],tblAcctSummary[Account_ID],A141),0))</f>
        <v/>
      </c>
      <c r="G141" s="5">
        <f>IF(A141="","",IF(IFERROR(XLOOKUP(A141,tblAccounts[Account_ID],tblAccounts[Include],FALSE),FALSE),SUMIFS(tblAcctSummary[Income_Interest_Base],tblAcctSummary[Account_ID],A141),0))</f>
        <v/>
      </c>
      <c r="H141" s="5">
        <f>IF(A141="","",IF(IFERROR(XLOOKUP(A141,tblAccounts[Account_ID],tblAccounts[Include],FALSE),FALSE),SUMIFS(tblAcctSummary[Income_Dividends_Base],tblAcctSummary[Account_ID],A141),0))</f>
        <v/>
      </c>
      <c r="I141" s="5">
        <f>IF(A141="","",IF(IFERROR(XLOOKUP(A141,tblAccounts[Account_ID],tblAccounts[Include],FALSE),FALSE),SUMIFS(tblAcctSummary[Income_Other_Base],tblAcctSummary[Account_ID],A141),0))</f>
        <v/>
      </c>
      <c r="J141" s="5">
        <f>IF(A141="","",SUM(G141:I141))</f>
        <v/>
      </c>
      <c r="K141" s="5">
        <f>IF(A141="","",IF(IFERROR(XLOOKUP(A141,tblAccounts[Account_ID],tblAccounts[Include],FALSE),FALSE),SUMIFS(tblAcctSummary[Realized_GL_Base],tblAcctSummary[Account_ID],A141),0))</f>
        <v/>
      </c>
      <c r="L141" s="5">
        <f>IF(A141="","",IF(IFERROR(XLOOKUP(A141,tblAccounts[Account_ID],tblAccounts[Include],FALSE),FALSE),SUMIFS(tblAcctSummary[Fees_Base],tblAcctSummary[Account_ID],A141),0))</f>
        <v/>
      </c>
      <c r="M141" s="5">
        <f>IF(A141="","",IF(IFERROR(XLOOKUP(A141,tblAccounts[Account_ID],tblAccounts[Include],FALSE),FALSE),SUMIFS(tblAcctSummary[Taxes_Base],tblAcctSummary[Account_ID],A141),0))</f>
        <v/>
      </c>
      <c r="N141" s="5">
        <f>IF(A141="","",IF(IFERROR(XLOOKUP(A141,tblAccounts[Account_ID],tblAccounts[Include],FALSE),FALSE),IFERROR(SUMPRODUCT(tblAcctSummary[Return_Period],tblAcctSummary[Begin_Balance_Base],--(tblAcctSummary[Account_ID]=A141))/IF(SUMIFS(tblAcctSummary[Begin_Balance_Base],tblAcctSummary[Account_ID],A141)=0,NA(),SUMIFS(tblAcctSummary[Begin_Balance_Base],tblAcctSummary[Account_ID],A141)),0),0))</f>
        <v/>
      </c>
    </row>
    <row r="142">
      <c r="A142" s="5">
        <f>IFERROR(INDEX(tblAccounts[Account_ID],139),"")</f>
        <v/>
      </c>
      <c r="B142" s="5">
        <f>IF(A142="","",IFERROR(XLOOKUP(A142,tblAccounts[Account_ID],tblAccounts[Account_Name],""),""))</f>
        <v/>
      </c>
      <c r="C142" s="5">
        <f>IF(A142="","",IFERROR(XLOOKUP(A142,tblAccounts[Account_ID],tblAccounts[Household_ID],""),""))</f>
        <v/>
      </c>
      <c r="D142" s="5">
        <f>IF(A142="","",IF(IFERROR(XLOOKUP(A142,tblAccounts[Account_ID],tblAccounts[Include],FALSE),FALSE),SUMIFS(tblAcctSummary[Begin_Balance_Base],tblAcctSummary[Account_ID],A142),0))</f>
        <v/>
      </c>
      <c r="E142" s="5">
        <f>IF(A142="","",IF(IFERROR(XLOOKUP(A142,tblAccounts[Account_ID],tblAccounts[Include],FALSE),FALSE),SUMIFS(tblAcctSummary[End_Balance_Base],tblAcctSummary[Account_ID],A142),0))</f>
        <v/>
      </c>
      <c r="F142" s="5">
        <f>IF(A142="","",IF(IFERROR(XLOOKUP(A142,tblAccounts[Account_ID],tblAccounts[Include],FALSE),FALSE),SUMIFS(tblAcctSummary[Net_Contrib_Base],tblAcctSummary[Account_ID],A142),0))</f>
        <v/>
      </c>
      <c r="G142" s="5">
        <f>IF(A142="","",IF(IFERROR(XLOOKUP(A142,tblAccounts[Account_ID],tblAccounts[Include],FALSE),FALSE),SUMIFS(tblAcctSummary[Income_Interest_Base],tblAcctSummary[Account_ID],A142),0))</f>
        <v/>
      </c>
      <c r="H142" s="5">
        <f>IF(A142="","",IF(IFERROR(XLOOKUP(A142,tblAccounts[Account_ID],tblAccounts[Include],FALSE),FALSE),SUMIFS(tblAcctSummary[Income_Dividends_Base],tblAcctSummary[Account_ID],A142),0))</f>
        <v/>
      </c>
      <c r="I142" s="5">
        <f>IF(A142="","",IF(IFERROR(XLOOKUP(A142,tblAccounts[Account_ID],tblAccounts[Include],FALSE),FALSE),SUMIFS(tblAcctSummary[Income_Other_Base],tblAcctSummary[Account_ID],A142),0))</f>
        <v/>
      </c>
      <c r="J142" s="5">
        <f>IF(A142="","",SUM(G142:I142))</f>
        <v/>
      </c>
      <c r="K142" s="5">
        <f>IF(A142="","",IF(IFERROR(XLOOKUP(A142,tblAccounts[Account_ID],tblAccounts[Include],FALSE),FALSE),SUMIFS(tblAcctSummary[Realized_GL_Base],tblAcctSummary[Account_ID],A142),0))</f>
        <v/>
      </c>
      <c r="L142" s="5">
        <f>IF(A142="","",IF(IFERROR(XLOOKUP(A142,tblAccounts[Account_ID],tblAccounts[Include],FALSE),FALSE),SUMIFS(tblAcctSummary[Fees_Base],tblAcctSummary[Account_ID],A142),0))</f>
        <v/>
      </c>
      <c r="M142" s="5">
        <f>IF(A142="","",IF(IFERROR(XLOOKUP(A142,tblAccounts[Account_ID],tblAccounts[Include],FALSE),FALSE),SUMIFS(tblAcctSummary[Taxes_Base],tblAcctSummary[Account_ID],A142),0))</f>
        <v/>
      </c>
      <c r="N142" s="5">
        <f>IF(A142="","",IF(IFERROR(XLOOKUP(A142,tblAccounts[Account_ID],tblAccounts[Include],FALSE),FALSE),IFERROR(SUMPRODUCT(tblAcctSummary[Return_Period],tblAcctSummary[Begin_Balance_Base],--(tblAcctSummary[Account_ID]=A142))/IF(SUMIFS(tblAcctSummary[Begin_Balance_Base],tblAcctSummary[Account_ID],A142)=0,NA(),SUMIFS(tblAcctSummary[Begin_Balance_Base],tblAcctSummary[Account_ID],A142)),0),0))</f>
        <v/>
      </c>
    </row>
    <row r="143">
      <c r="A143" s="5">
        <f>IFERROR(INDEX(tblAccounts[Account_ID],140),"")</f>
        <v/>
      </c>
      <c r="B143" s="5">
        <f>IF(A143="","",IFERROR(XLOOKUP(A143,tblAccounts[Account_ID],tblAccounts[Account_Name],""),""))</f>
        <v/>
      </c>
      <c r="C143" s="5">
        <f>IF(A143="","",IFERROR(XLOOKUP(A143,tblAccounts[Account_ID],tblAccounts[Household_ID],""),""))</f>
        <v/>
      </c>
      <c r="D143" s="5">
        <f>IF(A143="","",IF(IFERROR(XLOOKUP(A143,tblAccounts[Account_ID],tblAccounts[Include],FALSE),FALSE),SUMIFS(tblAcctSummary[Begin_Balance_Base],tblAcctSummary[Account_ID],A143),0))</f>
        <v/>
      </c>
      <c r="E143" s="5">
        <f>IF(A143="","",IF(IFERROR(XLOOKUP(A143,tblAccounts[Account_ID],tblAccounts[Include],FALSE),FALSE),SUMIFS(tblAcctSummary[End_Balance_Base],tblAcctSummary[Account_ID],A143),0))</f>
        <v/>
      </c>
      <c r="F143" s="5">
        <f>IF(A143="","",IF(IFERROR(XLOOKUP(A143,tblAccounts[Account_ID],tblAccounts[Include],FALSE),FALSE),SUMIFS(tblAcctSummary[Net_Contrib_Base],tblAcctSummary[Account_ID],A143),0))</f>
        <v/>
      </c>
      <c r="G143" s="5">
        <f>IF(A143="","",IF(IFERROR(XLOOKUP(A143,tblAccounts[Account_ID],tblAccounts[Include],FALSE),FALSE),SUMIFS(tblAcctSummary[Income_Interest_Base],tblAcctSummary[Account_ID],A143),0))</f>
        <v/>
      </c>
      <c r="H143" s="5">
        <f>IF(A143="","",IF(IFERROR(XLOOKUP(A143,tblAccounts[Account_ID],tblAccounts[Include],FALSE),FALSE),SUMIFS(tblAcctSummary[Income_Dividends_Base],tblAcctSummary[Account_ID],A143),0))</f>
        <v/>
      </c>
      <c r="I143" s="5">
        <f>IF(A143="","",IF(IFERROR(XLOOKUP(A143,tblAccounts[Account_ID],tblAccounts[Include],FALSE),FALSE),SUMIFS(tblAcctSummary[Income_Other_Base],tblAcctSummary[Account_ID],A143),0))</f>
        <v/>
      </c>
      <c r="J143" s="5">
        <f>IF(A143="","",SUM(G143:I143))</f>
        <v/>
      </c>
      <c r="K143" s="5">
        <f>IF(A143="","",IF(IFERROR(XLOOKUP(A143,tblAccounts[Account_ID],tblAccounts[Include],FALSE),FALSE),SUMIFS(tblAcctSummary[Realized_GL_Base],tblAcctSummary[Account_ID],A143),0))</f>
        <v/>
      </c>
      <c r="L143" s="5">
        <f>IF(A143="","",IF(IFERROR(XLOOKUP(A143,tblAccounts[Account_ID],tblAccounts[Include],FALSE),FALSE),SUMIFS(tblAcctSummary[Fees_Base],tblAcctSummary[Account_ID],A143),0))</f>
        <v/>
      </c>
      <c r="M143" s="5">
        <f>IF(A143="","",IF(IFERROR(XLOOKUP(A143,tblAccounts[Account_ID],tblAccounts[Include],FALSE),FALSE),SUMIFS(tblAcctSummary[Taxes_Base],tblAcctSummary[Account_ID],A143),0))</f>
        <v/>
      </c>
      <c r="N143" s="5">
        <f>IF(A143="","",IF(IFERROR(XLOOKUP(A143,tblAccounts[Account_ID],tblAccounts[Include],FALSE),FALSE),IFERROR(SUMPRODUCT(tblAcctSummary[Return_Period],tblAcctSummary[Begin_Balance_Base],--(tblAcctSummary[Account_ID]=A143))/IF(SUMIFS(tblAcctSummary[Begin_Balance_Base],tblAcctSummary[Account_ID],A143)=0,NA(),SUMIFS(tblAcctSummary[Begin_Balance_Base],tblAcctSummary[Account_ID],A143)),0),0))</f>
        <v/>
      </c>
    </row>
    <row r="144">
      <c r="A144" s="5">
        <f>IFERROR(INDEX(tblAccounts[Account_ID],141),"")</f>
        <v/>
      </c>
      <c r="B144" s="5">
        <f>IF(A144="","",IFERROR(XLOOKUP(A144,tblAccounts[Account_ID],tblAccounts[Account_Name],""),""))</f>
        <v/>
      </c>
      <c r="C144" s="5">
        <f>IF(A144="","",IFERROR(XLOOKUP(A144,tblAccounts[Account_ID],tblAccounts[Household_ID],""),""))</f>
        <v/>
      </c>
      <c r="D144" s="5">
        <f>IF(A144="","",IF(IFERROR(XLOOKUP(A144,tblAccounts[Account_ID],tblAccounts[Include],FALSE),FALSE),SUMIFS(tblAcctSummary[Begin_Balance_Base],tblAcctSummary[Account_ID],A144),0))</f>
        <v/>
      </c>
      <c r="E144" s="5">
        <f>IF(A144="","",IF(IFERROR(XLOOKUP(A144,tblAccounts[Account_ID],tblAccounts[Include],FALSE),FALSE),SUMIFS(tblAcctSummary[End_Balance_Base],tblAcctSummary[Account_ID],A144),0))</f>
        <v/>
      </c>
      <c r="F144" s="5">
        <f>IF(A144="","",IF(IFERROR(XLOOKUP(A144,tblAccounts[Account_ID],tblAccounts[Include],FALSE),FALSE),SUMIFS(tblAcctSummary[Net_Contrib_Base],tblAcctSummary[Account_ID],A144),0))</f>
        <v/>
      </c>
      <c r="G144" s="5">
        <f>IF(A144="","",IF(IFERROR(XLOOKUP(A144,tblAccounts[Account_ID],tblAccounts[Include],FALSE),FALSE),SUMIFS(tblAcctSummary[Income_Interest_Base],tblAcctSummary[Account_ID],A144),0))</f>
        <v/>
      </c>
      <c r="H144" s="5">
        <f>IF(A144="","",IF(IFERROR(XLOOKUP(A144,tblAccounts[Account_ID],tblAccounts[Include],FALSE),FALSE),SUMIFS(tblAcctSummary[Income_Dividends_Base],tblAcctSummary[Account_ID],A144),0))</f>
        <v/>
      </c>
      <c r="I144" s="5">
        <f>IF(A144="","",IF(IFERROR(XLOOKUP(A144,tblAccounts[Account_ID],tblAccounts[Include],FALSE),FALSE),SUMIFS(tblAcctSummary[Income_Other_Base],tblAcctSummary[Account_ID],A144),0))</f>
        <v/>
      </c>
      <c r="J144" s="5">
        <f>IF(A144="","",SUM(G144:I144))</f>
        <v/>
      </c>
      <c r="K144" s="5">
        <f>IF(A144="","",IF(IFERROR(XLOOKUP(A144,tblAccounts[Account_ID],tblAccounts[Include],FALSE),FALSE),SUMIFS(tblAcctSummary[Realized_GL_Base],tblAcctSummary[Account_ID],A144),0))</f>
        <v/>
      </c>
      <c r="L144" s="5">
        <f>IF(A144="","",IF(IFERROR(XLOOKUP(A144,tblAccounts[Account_ID],tblAccounts[Include],FALSE),FALSE),SUMIFS(tblAcctSummary[Fees_Base],tblAcctSummary[Account_ID],A144),0))</f>
        <v/>
      </c>
      <c r="M144" s="5">
        <f>IF(A144="","",IF(IFERROR(XLOOKUP(A144,tblAccounts[Account_ID],tblAccounts[Include],FALSE),FALSE),SUMIFS(tblAcctSummary[Taxes_Base],tblAcctSummary[Account_ID],A144),0))</f>
        <v/>
      </c>
      <c r="N144" s="5">
        <f>IF(A144="","",IF(IFERROR(XLOOKUP(A144,tblAccounts[Account_ID],tblAccounts[Include],FALSE),FALSE),IFERROR(SUMPRODUCT(tblAcctSummary[Return_Period],tblAcctSummary[Begin_Balance_Base],--(tblAcctSummary[Account_ID]=A144))/IF(SUMIFS(tblAcctSummary[Begin_Balance_Base],tblAcctSummary[Account_ID],A144)=0,NA(),SUMIFS(tblAcctSummary[Begin_Balance_Base],tblAcctSummary[Account_ID],A144)),0),0))</f>
        <v/>
      </c>
    </row>
    <row r="145">
      <c r="A145" s="5">
        <f>IFERROR(INDEX(tblAccounts[Account_ID],142),"")</f>
        <v/>
      </c>
      <c r="B145" s="5">
        <f>IF(A145="","",IFERROR(XLOOKUP(A145,tblAccounts[Account_ID],tblAccounts[Account_Name],""),""))</f>
        <v/>
      </c>
      <c r="C145" s="5">
        <f>IF(A145="","",IFERROR(XLOOKUP(A145,tblAccounts[Account_ID],tblAccounts[Household_ID],""),""))</f>
        <v/>
      </c>
      <c r="D145" s="5">
        <f>IF(A145="","",IF(IFERROR(XLOOKUP(A145,tblAccounts[Account_ID],tblAccounts[Include],FALSE),FALSE),SUMIFS(tblAcctSummary[Begin_Balance_Base],tblAcctSummary[Account_ID],A145),0))</f>
        <v/>
      </c>
      <c r="E145" s="5">
        <f>IF(A145="","",IF(IFERROR(XLOOKUP(A145,tblAccounts[Account_ID],tblAccounts[Include],FALSE),FALSE),SUMIFS(tblAcctSummary[End_Balance_Base],tblAcctSummary[Account_ID],A145),0))</f>
        <v/>
      </c>
      <c r="F145" s="5">
        <f>IF(A145="","",IF(IFERROR(XLOOKUP(A145,tblAccounts[Account_ID],tblAccounts[Include],FALSE),FALSE),SUMIFS(tblAcctSummary[Net_Contrib_Base],tblAcctSummary[Account_ID],A145),0))</f>
        <v/>
      </c>
      <c r="G145" s="5">
        <f>IF(A145="","",IF(IFERROR(XLOOKUP(A145,tblAccounts[Account_ID],tblAccounts[Include],FALSE),FALSE),SUMIFS(tblAcctSummary[Income_Interest_Base],tblAcctSummary[Account_ID],A145),0))</f>
        <v/>
      </c>
      <c r="H145" s="5">
        <f>IF(A145="","",IF(IFERROR(XLOOKUP(A145,tblAccounts[Account_ID],tblAccounts[Include],FALSE),FALSE),SUMIFS(tblAcctSummary[Income_Dividends_Base],tblAcctSummary[Account_ID],A145),0))</f>
        <v/>
      </c>
      <c r="I145" s="5">
        <f>IF(A145="","",IF(IFERROR(XLOOKUP(A145,tblAccounts[Account_ID],tblAccounts[Include],FALSE),FALSE),SUMIFS(tblAcctSummary[Income_Other_Base],tblAcctSummary[Account_ID],A145),0))</f>
        <v/>
      </c>
      <c r="J145" s="5">
        <f>IF(A145="","",SUM(G145:I145))</f>
        <v/>
      </c>
      <c r="K145" s="5">
        <f>IF(A145="","",IF(IFERROR(XLOOKUP(A145,tblAccounts[Account_ID],tblAccounts[Include],FALSE),FALSE),SUMIFS(tblAcctSummary[Realized_GL_Base],tblAcctSummary[Account_ID],A145),0))</f>
        <v/>
      </c>
      <c r="L145" s="5">
        <f>IF(A145="","",IF(IFERROR(XLOOKUP(A145,tblAccounts[Account_ID],tblAccounts[Include],FALSE),FALSE),SUMIFS(tblAcctSummary[Fees_Base],tblAcctSummary[Account_ID],A145),0))</f>
        <v/>
      </c>
      <c r="M145" s="5">
        <f>IF(A145="","",IF(IFERROR(XLOOKUP(A145,tblAccounts[Account_ID],tblAccounts[Include],FALSE),FALSE),SUMIFS(tblAcctSummary[Taxes_Base],tblAcctSummary[Account_ID],A145),0))</f>
        <v/>
      </c>
      <c r="N145" s="5">
        <f>IF(A145="","",IF(IFERROR(XLOOKUP(A145,tblAccounts[Account_ID],tblAccounts[Include],FALSE),FALSE),IFERROR(SUMPRODUCT(tblAcctSummary[Return_Period],tblAcctSummary[Begin_Balance_Base],--(tblAcctSummary[Account_ID]=A145))/IF(SUMIFS(tblAcctSummary[Begin_Balance_Base],tblAcctSummary[Account_ID],A145)=0,NA(),SUMIFS(tblAcctSummary[Begin_Balance_Base],tblAcctSummary[Account_ID],A145)),0),0))</f>
        <v/>
      </c>
    </row>
    <row r="146">
      <c r="A146" s="5">
        <f>IFERROR(INDEX(tblAccounts[Account_ID],143),"")</f>
        <v/>
      </c>
      <c r="B146" s="5">
        <f>IF(A146="","",IFERROR(XLOOKUP(A146,tblAccounts[Account_ID],tblAccounts[Account_Name],""),""))</f>
        <v/>
      </c>
      <c r="C146" s="5">
        <f>IF(A146="","",IFERROR(XLOOKUP(A146,tblAccounts[Account_ID],tblAccounts[Household_ID],""),""))</f>
        <v/>
      </c>
      <c r="D146" s="5">
        <f>IF(A146="","",IF(IFERROR(XLOOKUP(A146,tblAccounts[Account_ID],tblAccounts[Include],FALSE),FALSE),SUMIFS(tblAcctSummary[Begin_Balance_Base],tblAcctSummary[Account_ID],A146),0))</f>
        <v/>
      </c>
      <c r="E146" s="5">
        <f>IF(A146="","",IF(IFERROR(XLOOKUP(A146,tblAccounts[Account_ID],tblAccounts[Include],FALSE),FALSE),SUMIFS(tblAcctSummary[End_Balance_Base],tblAcctSummary[Account_ID],A146),0))</f>
        <v/>
      </c>
      <c r="F146" s="5">
        <f>IF(A146="","",IF(IFERROR(XLOOKUP(A146,tblAccounts[Account_ID],tblAccounts[Include],FALSE),FALSE),SUMIFS(tblAcctSummary[Net_Contrib_Base],tblAcctSummary[Account_ID],A146),0))</f>
        <v/>
      </c>
      <c r="G146" s="5">
        <f>IF(A146="","",IF(IFERROR(XLOOKUP(A146,tblAccounts[Account_ID],tblAccounts[Include],FALSE),FALSE),SUMIFS(tblAcctSummary[Income_Interest_Base],tblAcctSummary[Account_ID],A146),0))</f>
        <v/>
      </c>
      <c r="H146" s="5">
        <f>IF(A146="","",IF(IFERROR(XLOOKUP(A146,tblAccounts[Account_ID],tblAccounts[Include],FALSE),FALSE),SUMIFS(tblAcctSummary[Income_Dividends_Base],tblAcctSummary[Account_ID],A146),0))</f>
        <v/>
      </c>
      <c r="I146" s="5">
        <f>IF(A146="","",IF(IFERROR(XLOOKUP(A146,tblAccounts[Account_ID],tblAccounts[Include],FALSE),FALSE),SUMIFS(tblAcctSummary[Income_Other_Base],tblAcctSummary[Account_ID],A146),0))</f>
        <v/>
      </c>
      <c r="J146" s="5">
        <f>IF(A146="","",SUM(G146:I146))</f>
        <v/>
      </c>
      <c r="K146" s="5">
        <f>IF(A146="","",IF(IFERROR(XLOOKUP(A146,tblAccounts[Account_ID],tblAccounts[Include],FALSE),FALSE),SUMIFS(tblAcctSummary[Realized_GL_Base],tblAcctSummary[Account_ID],A146),0))</f>
        <v/>
      </c>
      <c r="L146" s="5">
        <f>IF(A146="","",IF(IFERROR(XLOOKUP(A146,tblAccounts[Account_ID],tblAccounts[Include],FALSE),FALSE),SUMIFS(tblAcctSummary[Fees_Base],tblAcctSummary[Account_ID],A146),0))</f>
        <v/>
      </c>
      <c r="M146" s="5">
        <f>IF(A146="","",IF(IFERROR(XLOOKUP(A146,tblAccounts[Account_ID],tblAccounts[Include],FALSE),FALSE),SUMIFS(tblAcctSummary[Taxes_Base],tblAcctSummary[Account_ID],A146),0))</f>
        <v/>
      </c>
      <c r="N146" s="5">
        <f>IF(A146="","",IF(IFERROR(XLOOKUP(A146,tblAccounts[Account_ID],tblAccounts[Include],FALSE),FALSE),IFERROR(SUMPRODUCT(tblAcctSummary[Return_Period],tblAcctSummary[Begin_Balance_Base],--(tblAcctSummary[Account_ID]=A146))/IF(SUMIFS(tblAcctSummary[Begin_Balance_Base],tblAcctSummary[Account_ID],A146)=0,NA(),SUMIFS(tblAcctSummary[Begin_Balance_Base],tblAcctSummary[Account_ID],A146)),0),0))</f>
        <v/>
      </c>
    </row>
    <row r="147">
      <c r="A147" s="5">
        <f>IFERROR(INDEX(tblAccounts[Account_ID],144),"")</f>
        <v/>
      </c>
      <c r="B147" s="5">
        <f>IF(A147="","",IFERROR(XLOOKUP(A147,tblAccounts[Account_ID],tblAccounts[Account_Name],""),""))</f>
        <v/>
      </c>
      <c r="C147" s="5">
        <f>IF(A147="","",IFERROR(XLOOKUP(A147,tblAccounts[Account_ID],tblAccounts[Household_ID],""),""))</f>
        <v/>
      </c>
      <c r="D147" s="5">
        <f>IF(A147="","",IF(IFERROR(XLOOKUP(A147,tblAccounts[Account_ID],tblAccounts[Include],FALSE),FALSE),SUMIFS(tblAcctSummary[Begin_Balance_Base],tblAcctSummary[Account_ID],A147),0))</f>
        <v/>
      </c>
      <c r="E147" s="5">
        <f>IF(A147="","",IF(IFERROR(XLOOKUP(A147,tblAccounts[Account_ID],tblAccounts[Include],FALSE),FALSE),SUMIFS(tblAcctSummary[End_Balance_Base],tblAcctSummary[Account_ID],A147),0))</f>
        <v/>
      </c>
      <c r="F147" s="5">
        <f>IF(A147="","",IF(IFERROR(XLOOKUP(A147,tblAccounts[Account_ID],tblAccounts[Include],FALSE),FALSE),SUMIFS(tblAcctSummary[Net_Contrib_Base],tblAcctSummary[Account_ID],A147),0))</f>
        <v/>
      </c>
      <c r="G147" s="5">
        <f>IF(A147="","",IF(IFERROR(XLOOKUP(A147,tblAccounts[Account_ID],tblAccounts[Include],FALSE),FALSE),SUMIFS(tblAcctSummary[Income_Interest_Base],tblAcctSummary[Account_ID],A147),0))</f>
        <v/>
      </c>
      <c r="H147" s="5">
        <f>IF(A147="","",IF(IFERROR(XLOOKUP(A147,tblAccounts[Account_ID],tblAccounts[Include],FALSE),FALSE),SUMIFS(tblAcctSummary[Income_Dividends_Base],tblAcctSummary[Account_ID],A147),0))</f>
        <v/>
      </c>
      <c r="I147" s="5">
        <f>IF(A147="","",IF(IFERROR(XLOOKUP(A147,tblAccounts[Account_ID],tblAccounts[Include],FALSE),FALSE),SUMIFS(tblAcctSummary[Income_Other_Base],tblAcctSummary[Account_ID],A147),0))</f>
        <v/>
      </c>
      <c r="J147" s="5">
        <f>IF(A147="","",SUM(G147:I147))</f>
        <v/>
      </c>
      <c r="K147" s="5">
        <f>IF(A147="","",IF(IFERROR(XLOOKUP(A147,tblAccounts[Account_ID],tblAccounts[Include],FALSE),FALSE),SUMIFS(tblAcctSummary[Realized_GL_Base],tblAcctSummary[Account_ID],A147),0))</f>
        <v/>
      </c>
      <c r="L147" s="5">
        <f>IF(A147="","",IF(IFERROR(XLOOKUP(A147,tblAccounts[Account_ID],tblAccounts[Include],FALSE),FALSE),SUMIFS(tblAcctSummary[Fees_Base],tblAcctSummary[Account_ID],A147),0))</f>
        <v/>
      </c>
      <c r="M147" s="5">
        <f>IF(A147="","",IF(IFERROR(XLOOKUP(A147,tblAccounts[Account_ID],tblAccounts[Include],FALSE),FALSE),SUMIFS(tblAcctSummary[Taxes_Base],tblAcctSummary[Account_ID],A147),0))</f>
        <v/>
      </c>
      <c r="N147" s="5">
        <f>IF(A147="","",IF(IFERROR(XLOOKUP(A147,tblAccounts[Account_ID],tblAccounts[Include],FALSE),FALSE),IFERROR(SUMPRODUCT(tblAcctSummary[Return_Period],tblAcctSummary[Begin_Balance_Base],--(tblAcctSummary[Account_ID]=A147))/IF(SUMIFS(tblAcctSummary[Begin_Balance_Base],tblAcctSummary[Account_ID],A147)=0,NA(),SUMIFS(tblAcctSummary[Begin_Balance_Base],tblAcctSummary[Account_ID],A147)),0),0))</f>
        <v/>
      </c>
    </row>
    <row r="148">
      <c r="A148" s="5">
        <f>IFERROR(INDEX(tblAccounts[Account_ID],145),"")</f>
        <v/>
      </c>
      <c r="B148" s="5">
        <f>IF(A148="","",IFERROR(XLOOKUP(A148,tblAccounts[Account_ID],tblAccounts[Account_Name],""),""))</f>
        <v/>
      </c>
      <c r="C148" s="5">
        <f>IF(A148="","",IFERROR(XLOOKUP(A148,tblAccounts[Account_ID],tblAccounts[Household_ID],""),""))</f>
        <v/>
      </c>
      <c r="D148" s="5">
        <f>IF(A148="","",IF(IFERROR(XLOOKUP(A148,tblAccounts[Account_ID],tblAccounts[Include],FALSE),FALSE),SUMIFS(tblAcctSummary[Begin_Balance_Base],tblAcctSummary[Account_ID],A148),0))</f>
        <v/>
      </c>
      <c r="E148" s="5">
        <f>IF(A148="","",IF(IFERROR(XLOOKUP(A148,tblAccounts[Account_ID],tblAccounts[Include],FALSE),FALSE),SUMIFS(tblAcctSummary[End_Balance_Base],tblAcctSummary[Account_ID],A148),0))</f>
        <v/>
      </c>
      <c r="F148" s="5">
        <f>IF(A148="","",IF(IFERROR(XLOOKUP(A148,tblAccounts[Account_ID],tblAccounts[Include],FALSE),FALSE),SUMIFS(tblAcctSummary[Net_Contrib_Base],tblAcctSummary[Account_ID],A148),0))</f>
        <v/>
      </c>
      <c r="G148" s="5">
        <f>IF(A148="","",IF(IFERROR(XLOOKUP(A148,tblAccounts[Account_ID],tblAccounts[Include],FALSE),FALSE),SUMIFS(tblAcctSummary[Income_Interest_Base],tblAcctSummary[Account_ID],A148),0))</f>
        <v/>
      </c>
      <c r="H148" s="5">
        <f>IF(A148="","",IF(IFERROR(XLOOKUP(A148,tblAccounts[Account_ID],tblAccounts[Include],FALSE),FALSE),SUMIFS(tblAcctSummary[Income_Dividends_Base],tblAcctSummary[Account_ID],A148),0))</f>
        <v/>
      </c>
      <c r="I148" s="5">
        <f>IF(A148="","",IF(IFERROR(XLOOKUP(A148,tblAccounts[Account_ID],tblAccounts[Include],FALSE),FALSE),SUMIFS(tblAcctSummary[Income_Other_Base],tblAcctSummary[Account_ID],A148),0))</f>
        <v/>
      </c>
      <c r="J148" s="5">
        <f>IF(A148="","",SUM(G148:I148))</f>
        <v/>
      </c>
      <c r="K148" s="5">
        <f>IF(A148="","",IF(IFERROR(XLOOKUP(A148,tblAccounts[Account_ID],tblAccounts[Include],FALSE),FALSE),SUMIFS(tblAcctSummary[Realized_GL_Base],tblAcctSummary[Account_ID],A148),0))</f>
        <v/>
      </c>
      <c r="L148" s="5">
        <f>IF(A148="","",IF(IFERROR(XLOOKUP(A148,tblAccounts[Account_ID],tblAccounts[Include],FALSE),FALSE),SUMIFS(tblAcctSummary[Fees_Base],tblAcctSummary[Account_ID],A148),0))</f>
        <v/>
      </c>
      <c r="M148" s="5">
        <f>IF(A148="","",IF(IFERROR(XLOOKUP(A148,tblAccounts[Account_ID],tblAccounts[Include],FALSE),FALSE),SUMIFS(tblAcctSummary[Taxes_Base],tblAcctSummary[Account_ID],A148),0))</f>
        <v/>
      </c>
      <c r="N148" s="5">
        <f>IF(A148="","",IF(IFERROR(XLOOKUP(A148,tblAccounts[Account_ID],tblAccounts[Include],FALSE),FALSE),IFERROR(SUMPRODUCT(tblAcctSummary[Return_Period],tblAcctSummary[Begin_Balance_Base],--(tblAcctSummary[Account_ID]=A148))/IF(SUMIFS(tblAcctSummary[Begin_Balance_Base],tblAcctSummary[Account_ID],A148)=0,NA(),SUMIFS(tblAcctSummary[Begin_Balance_Base],tblAcctSummary[Account_ID],A148)),0),0))</f>
        <v/>
      </c>
    </row>
    <row r="149">
      <c r="A149" s="5">
        <f>IFERROR(INDEX(tblAccounts[Account_ID],146),"")</f>
        <v/>
      </c>
      <c r="B149" s="5">
        <f>IF(A149="","",IFERROR(XLOOKUP(A149,tblAccounts[Account_ID],tblAccounts[Account_Name],""),""))</f>
        <v/>
      </c>
      <c r="C149" s="5">
        <f>IF(A149="","",IFERROR(XLOOKUP(A149,tblAccounts[Account_ID],tblAccounts[Household_ID],""),""))</f>
        <v/>
      </c>
      <c r="D149" s="5">
        <f>IF(A149="","",IF(IFERROR(XLOOKUP(A149,tblAccounts[Account_ID],tblAccounts[Include],FALSE),FALSE),SUMIFS(tblAcctSummary[Begin_Balance_Base],tblAcctSummary[Account_ID],A149),0))</f>
        <v/>
      </c>
      <c r="E149" s="5">
        <f>IF(A149="","",IF(IFERROR(XLOOKUP(A149,tblAccounts[Account_ID],tblAccounts[Include],FALSE),FALSE),SUMIFS(tblAcctSummary[End_Balance_Base],tblAcctSummary[Account_ID],A149),0))</f>
        <v/>
      </c>
      <c r="F149" s="5">
        <f>IF(A149="","",IF(IFERROR(XLOOKUP(A149,tblAccounts[Account_ID],tblAccounts[Include],FALSE),FALSE),SUMIFS(tblAcctSummary[Net_Contrib_Base],tblAcctSummary[Account_ID],A149),0))</f>
        <v/>
      </c>
      <c r="G149" s="5">
        <f>IF(A149="","",IF(IFERROR(XLOOKUP(A149,tblAccounts[Account_ID],tblAccounts[Include],FALSE),FALSE),SUMIFS(tblAcctSummary[Income_Interest_Base],tblAcctSummary[Account_ID],A149),0))</f>
        <v/>
      </c>
      <c r="H149" s="5">
        <f>IF(A149="","",IF(IFERROR(XLOOKUP(A149,tblAccounts[Account_ID],tblAccounts[Include],FALSE),FALSE),SUMIFS(tblAcctSummary[Income_Dividends_Base],tblAcctSummary[Account_ID],A149),0))</f>
        <v/>
      </c>
      <c r="I149" s="5">
        <f>IF(A149="","",IF(IFERROR(XLOOKUP(A149,tblAccounts[Account_ID],tblAccounts[Include],FALSE),FALSE),SUMIFS(tblAcctSummary[Income_Other_Base],tblAcctSummary[Account_ID],A149),0))</f>
        <v/>
      </c>
      <c r="J149" s="5">
        <f>IF(A149="","",SUM(G149:I149))</f>
        <v/>
      </c>
      <c r="K149" s="5">
        <f>IF(A149="","",IF(IFERROR(XLOOKUP(A149,tblAccounts[Account_ID],tblAccounts[Include],FALSE),FALSE),SUMIFS(tblAcctSummary[Realized_GL_Base],tblAcctSummary[Account_ID],A149),0))</f>
        <v/>
      </c>
      <c r="L149" s="5">
        <f>IF(A149="","",IF(IFERROR(XLOOKUP(A149,tblAccounts[Account_ID],tblAccounts[Include],FALSE),FALSE),SUMIFS(tblAcctSummary[Fees_Base],tblAcctSummary[Account_ID],A149),0))</f>
        <v/>
      </c>
      <c r="M149" s="5">
        <f>IF(A149="","",IF(IFERROR(XLOOKUP(A149,tblAccounts[Account_ID],tblAccounts[Include],FALSE),FALSE),SUMIFS(tblAcctSummary[Taxes_Base],tblAcctSummary[Account_ID],A149),0))</f>
        <v/>
      </c>
      <c r="N149" s="5">
        <f>IF(A149="","",IF(IFERROR(XLOOKUP(A149,tblAccounts[Account_ID],tblAccounts[Include],FALSE),FALSE),IFERROR(SUMPRODUCT(tblAcctSummary[Return_Period],tblAcctSummary[Begin_Balance_Base],--(tblAcctSummary[Account_ID]=A149))/IF(SUMIFS(tblAcctSummary[Begin_Balance_Base],tblAcctSummary[Account_ID],A149)=0,NA(),SUMIFS(tblAcctSummary[Begin_Balance_Base],tblAcctSummary[Account_ID],A149)),0),0))</f>
        <v/>
      </c>
    </row>
    <row r="150">
      <c r="A150" s="5">
        <f>IFERROR(INDEX(tblAccounts[Account_ID],147),"")</f>
        <v/>
      </c>
      <c r="B150" s="5">
        <f>IF(A150="","",IFERROR(XLOOKUP(A150,tblAccounts[Account_ID],tblAccounts[Account_Name],""),""))</f>
        <v/>
      </c>
      <c r="C150" s="5">
        <f>IF(A150="","",IFERROR(XLOOKUP(A150,tblAccounts[Account_ID],tblAccounts[Household_ID],""),""))</f>
        <v/>
      </c>
      <c r="D150" s="5">
        <f>IF(A150="","",IF(IFERROR(XLOOKUP(A150,tblAccounts[Account_ID],tblAccounts[Include],FALSE),FALSE),SUMIFS(tblAcctSummary[Begin_Balance_Base],tblAcctSummary[Account_ID],A150),0))</f>
        <v/>
      </c>
      <c r="E150" s="5">
        <f>IF(A150="","",IF(IFERROR(XLOOKUP(A150,tblAccounts[Account_ID],tblAccounts[Include],FALSE),FALSE),SUMIFS(tblAcctSummary[End_Balance_Base],tblAcctSummary[Account_ID],A150),0))</f>
        <v/>
      </c>
      <c r="F150" s="5">
        <f>IF(A150="","",IF(IFERROR(XLOOKUP(A150,tblAccounts[Account_ID],tblAccounts[Include],FALSE),FALSE),SUMIFS(tblAcctSummary[Net_Contrib_Base],tblAcctSummary[Account_ID],A150),0))</f>
        <v/>
      </c>
      <c r="G150" s="5">
        <f>IF(A150="","",IF(IFERROR(XLOOKUP(A150,tblAccounts[Account_ID],tblAccounts[Include],FALSE),FALSE),SUMIFS(tblAcctSummary[Income_Interest_Base],tblAcctSummary[Account_ID],A150),0))</f>
        <v/>
      </c>
      <c r="H150" s="5">
        <f>IF(A150="","",IF(IFERROR(XLOOKUP(A150,tblAccounts[Account_ID],tblAccounts[Include],FALSE),FALSE),SUMIFS(tblAcctSummary[Income_Dividends_Base],tblAcctSummary[Account_ID],A150),0))</f>
        <v/>
      </c>
      <c r="I150" s="5">
        <f>IF(A150="","",IF(IFERROR(XLOOKUP(A150,tblAccounts[Account_ID],tblAccounts[Include],FALSE),FALSE),SUMIFS(tblAcctSummary[Income_Other_Base],tblAcctSummary[Account_ID],A150),0))</f>
        <v/>
      </c>
      <c r="J150" s="5">
        <f>IF(A150="","",SUM(G150:I150))</f>
        <v/>
      </c>
      <c r="K150" s="5">
        <f>IF(A150="","",IF(IFERROR(XLOOKUP(A150,tblAccounts[Account_ID],tblAccounts[Include],FALSE),FALSE),SUMIFS(tblAcctSummary[Realized_GL_Base],tblAcctSummary[Account_ID],A150),0))</f>
        <v/>
      </c>
      <c r="L150" s="5">
        <f>IF(A150="","",IF(IFERROR(XLOOKUP(A150,tblAccounts[Account_ID],tblAccounts[Include],FALSE),FALSE),SUMIFS(tblAcctSummary[Fees_Base],tblAcctSummary[Account_ID],A150),0))</f>
        <v/>
      </c>
      <c r="M150" s="5">
        <f>IF(A150="","",IF(IFERROR(XLOOKUP(A150,tblAccounts[Account_ID],tblAccounts[Include],FALSE),FALSE),SUMIFS(tblAcctSummary[Taxes_Base],tblAcctSummary[Account_ID],A150),0))</f>
        <v/>
      </c>
      <c r="N150" s="5">
        <f>IF(A150="","",IF(IFERROR(XLOOKUP(A150,tblAccounts[Account_ID],tblAccounts[Include],FALSE),FALSE),IFERROR(SUMPRODUCT(tblAcctSummary[Return_Period],tblAcctSummary[Begin_Balance_Base],--(tblAcctSummary[Account_ID]=A150))/IF(SUMIFS(tblAcctSummary[Begin_Balance_Base],tblAcctSummary[Account_ID],A150)=0,NA(),SUMIFS(tblAcctSummary[Begin_Balance_Base],tblAcctSummary[Account_ID],A150)),0),0))</f>
        <v/>
      </c>
    </row>
    <row r="151">
      <c r="A151" s="5">
        <f>IFERROR(INDEX(tblAccounts[Account_ID],148),"")</f>
        <v/>
      </c>
      <c r="B151" s="5">
        <f>IF(A151="","",IFERROR(XLOOKUP(A151,tblAccounts[Account_ID],tblAccounts[Account_Name],""),""))</f>
        <v/>
      </c>
      <c r="C151" s="5">
        <f>IF(A151="","",IFERROR(XLOOKUP(A151,tblAccounts[Account_ID],tblAccounts[Household_ID],""),""))</f>
        <v/>
      </c>
      <c r="D151" s="5">
        <f>IF(A151="","",IF(IFERROR(XLOOKUP(A151,tblAccounts[Account_ID],tblAccounts[Include],FALSE),FALSE),SUMIFS(tblAcctSummary[Begin_Balance_Base],tblAcctSummary[Account_ID],A151),0))</f>
        <v/>
      </c>
      <c r="E151" s="5">
        <f>IF(A151="","",IF(IFERROR(XLOOKUP(A151,tblAccounts[Account_ID],tblAccounts[Include],FALSE),FALSE),SUMIFS(tblAcctSummary[End_Balance_Base],tblAcctSummary[Account_ID],A151),0))</f>
        <v/>
      </c>
      <c r="F151" s="5">
        <f>IF(A151="","",IF(IFERROR(XLOOKUP(A151,tblAccounts[Account_ID],tblAccounts[Include],FALSE),FALSE),SUMIFS(tblAcctSummary[Net_Contrib_Base],tblAcctSummary[Account_ID],A151),0))</f>
        <v/>
      </c>
      <c r="G151" s="5">
        <f>IF(A151="","",IF(IFERROR(XLOOKUP(A151,tblAccounts[Account_ID],tblAccounts[Include],FALSE),FALSE),SUMIFS(tblAcctSummary[Income_Interest_Base],tblAcctSummary[Account_ID],A151),0))</f>
        <v/>
      </c>
      <c r="H151" s="5">
        <f>IF(A151="","",IF(IFERROR(XLOOKUP(A151,tblAccounts[Account_ID],tblAccounts[Include],FALSE),FALSE),SUMIFS(tblAcctSummary[Income_Dividends_Base],tblAcctSummary[Account_ID],A151),0))</f>
        <v/>
      </c>
      <c r="I151" s="5">
        <f>IF(A151="","",IF(IFERROR(XLOOKUP(A151,tblAccounts[Account_ID],tblAccounts[Include],FALSE),FALSE),SUMIFS(tblAcctSummary[Income_Other_Base],tblAcctSummary[Account_ID],A151),0))</f>
        <v/>
      </c>
      <c r="J151" s="5">
        <f>IF(A151="","",SUM(G151:I151))</f>
        <v/>
      </c>
      <c r="K151" s="5">
        <f>IF(A151="","",IF(IFERROR(XLOOKUP(A151,tblAccounts[Account_ID],tblAccounts[Include],FALSE),FALSE),SUMIFS(tblAcctSummary[Realized_GL_Base],tblAcctSummary[Account_ID],A151),0))</f>
        <v/>
      </c>
      <c r="L151" s="5">
        <f>IF(A151="","",IF(IFERROR(XLOOKUP(A151,tblAccounts[Account_ID],tblAccounts[Include],FALSE),FALSE),SUMIFS(tblAcctSummary[Fees_Base],tblAcctSummary[Account_ID],A151),0))</f>
        <v/>
      </c>
      <c r="M151" s="5">
        <f>IF(A151="","",IF(IFERROR(XLOOKUP(A151,tblAccounts[Account_ID],tblAccounts[Include],FALSE),FALSE),SUMIFS(tblAcctSummary[Taxes_Base],tblAcctSummary[Account_ID],A151),0))</f>
        <v/>
      </c>
      <c r="N151" s="5">
        <f>IF(A151="","",IF(IFERROR(XLOOKUP(A151,tblAccounts[Account_ID],tblAccounts[Include],FALSE),FALSE),IFERROR(SUMPRODUCT(tblAcctSummary[Return_Period],tblAcctSummary[Begin_Balance_Base],--(tblAcctSummary[Account_ID]=A151))/IF(SUMIFS(tblAcctSummary[Begin_Balance_Base],tblAcctSummary[Account_ID],A151)=0,NA(),SUMIFS(tblAcctSummary[Begin_Balance_Base],tblAcctSummary[Account_ID],A151)),0),0))</f>
        <v/>
      </c>
    </row>
    <row r="152">
      <c r="A152" s="5">
        <f>IFERROR(INDEX(tblAccounts[Account_ID],149),"")</f>
        <v/>
      </c>
      <c r="B152" s="5">
        <f>IF(A152="","",IFERROR(XLOOKUP(A152,tblAccounts[Account_ID],tblAccounts[Account_Name],""),""))</f>
        <v/>
      </c>
      <c r="C152" s="5">
        <f>IF(A152="","",IFERROR(XLOOKUP(A152,tblAccounts[Account_ID],tblAccounts[Household_ID],""),""))</f>
        <v/>
      </c>
      <c r="D152" s="5">
        <f>IF(A152="","",IF(IFERROR(XLOOKUP(A152,tblAccounts[Account_ID],tblAccounts[Include],FALSE),FALSE),SUMIFS(tblAcctSummary[Begin_Balance_Base],tblAcctSummary[Account_ID],A152),0))</f>
        <v/>
      </c>
      <c r="E152" s="5">
        <f>IF(A152="","",IF(IFERROR(XLOOKUP(A152,tblAccounts[Account_ID],tblAccounts[Include],FALSE),FALSE),SUMIFS(tblAcctSummary[End_Balance_Base],tblAcctSummary[Account_ID],A152),0))</f>
        <v/>
      </c>
      <c r="F152" s="5">
        <f>IF(A152="","",IF(IFERROR(XLOOKUP(A152,tblAccounts[Account_ID],tblAccounts[Include],FALSE),FALSE),SUMIFS(tblAcctSummary[Net_Contrib_Base],tblAcctSummary[Account_ID],A152),0))</f>
        <v/>
      </c>
      <c r="G152" s="5">
        <f>IF(A152="","",IF(IFERROR(XLOOKUP(A152,tblAccounts[Account_ID],tblAccounts[Include],FALSE),FALSE),SUMIFS(tblAcctSummary[Income_Interest_Base],tblAcctSummary[Account_ID],A152),0))</f>
        <v/>
      </c>
      <c r="H152" s="5">
        <f>IF(A152="","",IF(IFERROR(XLOOKUP(A152,tblAccounts[Account_ID],tblAccounts[Include],FALSE),FALSE),SUMIFS(tblAcctSummary[Income_Dividends_Base],tblAcctSummary[Account_ID],A152),0))</f>
        <v/>
      </c>
      <c r="I152" s="5">
        <f>IF(A152="","",IF(IFERROR(XLOOKUP(A152,tblAccounts[Account_ID],tblAccounts[Include],FALSE),FALSE),SUMIFS(tblAcctSummary[Income_Other_Base],tblAcctSummary[Account_ID],A152),0))</f>
        <v/>
      </c>
      <c r="J152" s="5">
        <f>IF(A152="","",SUM(G152:I152))</f>
        <v/>
      </c>
      <c r="K152" s="5">
        <f>IF(A152="","",IF(IFERROR(XLOOKUP(A152,tblAccounts[Account_ID],tblAccounts[Include],FALSE),FALSE),SUMIFS(tblAcctSummary[Realized_GL_Base],tblAcctSummary[Account_ID],A152),0))</f>
        <v/>
      </c>
      <c r="L152" s="5">
        <f>IF(A152="","",IF(IFERROR(XLOOKUP(A152,tblAccounts[Account_ID],tblAccounts[Include],FALSE),FALSE),SUMIFS(tblAcctSummary[Fees_Base],tblAcctSummary[Account_ID],A152),0))</f>
        <v/>
      </c>
      <c r="M152" s="5">
        <f>IF(A152="","",IF(IFERROR(XLOOKUP(A152,tblAccounts[Account_ID],tblAccounts[Include],FALSE),FALSE),SUMIFS(tblAcctSummary[Taxes_Base],tblAcctSummary[Account_ID],A152),0))</f>
        <v/>
      </c>
      <c r="N152" s="5">
        <f>IF(A152="","",IF(IFERROR(XLOOKUP(A152,tblAccounts[Account_ID],tblAccounts[Include],FALSE),FALSE),IFERROR(SUMPRODUCT(tblAcctSummary[Return_Period],tblAcctSummary[Begin_Balance_Base],--(tblAcctSummary[Account_ID]=A152))/IF(SUMIFS(tblAcctSummary[Begin_Balance_Base],tblAcctSummary[Account_ID],A152)=0,NA(),SUMIFS(tblAcctSummary[Begin_Balance_Base],tblAcctSummary[Account_ID],A152)),0),0))</f>
        <v/>
      </c>
    </row>
    <row r="153">
      <c r="A153" s="5">
        <f>IFERROR(INDEX(tblAccounts[Account_ID],150),"")</f>
        <v/>
      </c>
      <c r="B153" s="5">
        <f>IF(A153="","",IFERROR(XLOOKUP(A153,tblAccounts[Account_ID],tblAccounts[Account_Name],""),""))</f>
        <v/>
      </c>
      <c r="C153" s="5">
        <f>IF(A153="","",IFERROR(XLOOKUP(A153,tblAccounts[Account_ID],tblAccounts[Household_ID],""),""))</f>
        <v/>
      </c>
      <c r="D153" s="5">
        <f>IF(A153="","",IF(IFERROR(XLOOKUP(A153,tblAccounts[Account_ID],tblAccounts[Include],FALSE),FALSE),SUMIFS(tblAcctSummary[Begin_Balance_Base],tblAcctSummary[Account_ID],A153),0))</f>
        <v/>
      </c>
      <c r="E153" s="5">
        <f>IF(A153="","",IF(IFERROR(XLOOKUP(A153,tblAccounts[Account_ID],tblAccounts[Include],FALSE),FALSE),SUMIFS(tblAcctSummary[End_Balance_Base],tblAcctSummary[Account_ID],A153),0))</f>
        <v/>
      </c>
      <c r="F153" s="5">
        <f>IF(A153="","",IF(IFERROR(XLOOKUP(A153,tblAccounts[Account_ID],tblAccounts[Include],FALSE),FALSE),SUMIFS(tblAcctSummary[Net_Contrib_Base],tblAcctSummary[Account_ID],A153),0))</f>
        <v/>
      </c>
      <c r="G153" s="5">
        <f>IF(A153="","",IF(IFERROR(XLOOKUP(A153,tblAccounts[Account_ID],tblAccounts[Include],FALSE),FALSE),SUMIFS(tblAcctSummary[Income_Interest_Base],tblAcctSummary[Account_ID],A153),0))</f>
        <v/>
      </c>
      <c r="H153" s="5">
        <f>IF(A153="","",IF(IFERROR(XLOOKUP(A153,tblAccounts[Account_ID],tblAccounts[Include],FALSE),FALSE),SUMIFS(tblAcctSummary[Income_Dividends_Base],tblAcctSummary[Account_ID],A153),0))</f>
        <v/>
      </c>
      <c r="I153" s="5">
        <f>IF(A153="","",IF(IFERROR(XLOOKUP(A153,tblAccounts[Account_ID],tblAccounts[Include],FALSE),FALSE),SUMIFS(tblAcctSummary[Income_Other_Base],tblAcctSummary[Account_ID],A153),0))</f>
        <v/>
      </c>
      <c r="J153" s="5">
        <f>IF(A153="","",SUM(G153:I153))</f>
        <v/>
      </c>
      <c r="K153" s="5">
        <f>IF(A153="","",IF(IFERROR(XLOOKUP(A153,tblAccounts[Account_ID],tblAccounts[Include],FALSE),FALSE),SUMIFS(tblAcctSummary[Realized_GL_Base],tblAcctSummary[Account_ID],A153),0))</f>
        <v/>
      </c>
      <c r="L153" s="5">
        <f>IF(A153="","",IF(IFERROR(XLOOKUP(A153,tblAccounts[Account_ID],tblAccounts[Include],FALSE),FALSE),SUMIFS(tblAcctSummary[Fees_Base],tblAcctSummary[Account_ID],A153),0))</f>
        <v/>
      </c>
      <c r="M153" s="5">
        <f>IF(A153="","",IF(IFERROR(XLOOKUP(A153,tblAccounts[Account_ID],tblAccounts[Include],FALSE),FALSE),SUMIFS(tblAcctSummary[Taxes_Base],tblAcctSummary[Account_ID],A153),0))</f>
        <v/>
      </c>
      <c r="N153" s="5">
        <f>IF(A153="","",IF(IFERROR(XLOOKUP(A153,tblAccounts[Account_ID],tblAccounts[Include],FALSE),FALSE),IFERROR(SUMPRODUCT(tblAcctSummary[Return_Period],tblAcctSummary[Begin_Balance_Base],--(tblAcctSummary[Account_ID]=A153))/IF(SUMIFS(tblAcctSummary[Begin_Balance_Base],tblAcctSummary[Account_ID],A153)=0,NA(),SUMIFS(tblAcctSummary[Begin_Balance_Base],tblAcctSummary[Account_ID],A153)),0),0))</f>
        <v/>
      </c>
    </row>
    <row r="154">
      <c r="A154" s="5">
        <f>IFERROR(INDEX(tblAccounts[Account_ID],151),"")</f>
        <v/>
      </c>
      <c r="B154" s="5">
        <f>IF(A154="","",IFERROR(XLOOKUP(A154,tblAccounts[Account_ID],tblAccounts[Account_Name],""),""))</f>
        <v/>
      </c>
      <c r="C154" s="5">
        <f>IF(A154="","",IFERROR(XLOOKUP(A154,tblAccounts[Account_ID],tblAccounts[Household_ID],""),""))</f>
        <v/>
      </c>
      <c r="D154" s="5">
        <f>IF(A154="","",IF(IFERROR(XLOOKUP(A154,tblAccounts[Account_ID],tblAccounts[Include],FALSE),FALSE),SUMIFS(tblAcctSummary[Begin_Balance_Base],tblAcctSummary[Account_ID],A154),0))</f>
        <v/>
      </c>
      <c r="E154" s="5">
        <f>IF(A154="","",IF(IFERROR(XLOOKUP(A154,tblAccounts[Account_ID],tblAccounts[Include],FALSE),FALSE),SUMIFS(tblAcctSummary[End_Balance_Base],tblAcctSummary[Account_ID],A154),0))</f>
        <v/>
      </c>
      <c r="F154" s="5">
        <f>IF(A154="","",IF(IFERROR(XLOOKUP(A154,tblAccounts[Account_ID],tblAccounts[Include],FALSE),FALSE),SUMIFS(tblAcctSummary[Net_Contrib_Base],tblAcctSummary[Account_ID],A154),0))</f>
        <v/>
      </c>
      <c r="G154" s="5">
        <f>IF(A154="","",IF(IFERROR(XLOOKUP(A154,tblAccounts[Account_ID],tblAccounts[Include],FALSE),FALSE),SUMIFS(tblAcctSummary[Income_Interest_Base],tblAcctSummary[Account_ID],A154),0))</f>
        <v/>
      </c>
      <c r="H154" s="5">
        <f>IF(A154="","",IF(IFERROR(XLOOKUP(A154,tblAccounts[Account_ID],tblAccounts[Include],FALSE),FALSE),SUMIFS(tblAcctSummary[Income_Dividends_Base],tblAcctSummary[Account_ID],A154),0))</f>
        <v/>
      </c>
      <c r="I154" s="5">
        <f>IF(A154="","",IF(IFERROR(XLOOKUP(A154,tblAccounts[Account_ID],tblAccounts[Include],FALSE),FALSE),SUMIFS(tblAcctSummary[Income_Other_Base],tblAcctSummary[Account_ID],A154),0))</f>
        <v/>
      </c>
      <c r="J154" s="5">
        <f>IF(A154="","",SUM(G154:I154))</f>
        <v/>
      </c>
      <c r="K154" s="5">
        <f>IF(A154="","",IF(IFERROR(XLOOKUP(A154,tblAccounts[Account_ID],tblAccounts[Include],FALSE),FALSE),SUMIFS(tblAcctSummary[Realized_GL_Base],tblAcctSummary[Account_ID],A154),0))</f>
        <v/>
      </c>
      <c r="L154" s="5">
        <f>IF(A154="","",IF(IFERROR(XLOOKUP(A154,tblAccounts[Account_ID],tblAccounts[Include],FALSE),FALSE),SUMIFS(tblAcctSummary[Fees_Base],tblAcctSummary[Account_ID],A154),0))</f>
        <v/>
      </c>
      <c r="M154" s="5">
        <f>IF(A154="","",IF(IFERROR(XLOOKUP(A154,tblAccounts[Account_ID],tblAccounts[Include],FALSE),FALSE),SUMIFS(tblAcctSummary[Taxes_Base],tblAcctSummary[Account_ID],A154),0))</f>
        <v/>
      </c>
      <c r="N154" s="5">
        <f>IF(A154="","",IF(IFERROR(XLOOKUP(A154,tblAccounts[Account_ID],tblAccounts[Include],FALSE),FALSE),IFERROR(SUMPRODUCT(tblAcctSummary[Return_Period],tblAcctSummary[Begin_Balance_Base],--(tblAcctSummary[Account_ID]=A154))/IF(SUMIFS(tblAcctSummary[Begin_Balance_Base],tblAcctSummary[Account_ID],A154)=0,NA(),SUMIFS(tblAcctSummary[Begin_Balance_Base],tblAcctSummary[Account_ID],A154)),0),0))</f>
        <v/>
      </c>
    </row>
    <row r="155">
      <c r="A155" s="5">
        <f>IFERROR(INDEX(tblAccounts[Account_ID],152),"")</f>
        <v/>
      </c>
      <c r="B155" s="5">
        <f>IF(A155="","",IFERROR(XLOOKUP(A155,tblAccounts[Account_ID],tblAccounts[Account_Name],""),""))</f>
        <v/>
      </c>
      <c r="C155" s="5">
        <f>IF(A155="","",IFERROR(XLOOKUP(A155,tblAccounts[Account_ID],tblAccounts[Household_ID],""),""))</f>
        <v/>
      </c>
      <c r="D155" s="5">
        <f>IF(A155="","",IF(IFERROR(XLOOKUP(A155,tblAccounts[Account_ID],tblAccounts[Include],FALSE),FALSE),SUMIFS(tblAcctSummary[Begin_Balance_Base],tblAcctSummary[Account_ID],A155),0))</f>
        <v/>
      </c>
      <c r="E155" s="5">
        <f>IF(A155="","",IF(IFERROR(XLOOKUP(A155,tblAccounts[Account_ID],tblAccounts[Include],FALSE),FALSE),SUMIFS(tblAcctSummary[End_Balance_Base],tblAcctSummary[Account_ID],A155),0))</f>
        <v/>
      </c>
      <c r="F155" s="5">
        <f>IF(A155="","",IF(IFERROR(XLOOKUP(A155,tblAccounts[Account_ID],tblAccounts[Include],FALSE),FALSE),SUMIFS(tblAcctSummary[Net_Contrib_Base],tblAcctSummary[Account_ID],A155),0))</f>
        <v/>
      </c>
      <c r="G155" s="5">
        <f>IF(A155="","",IF(IFERROR(XLOOKUP(A155,tblAccounts[Account_ID],tblAccounts[Include],FALSE),FALSE),SUMIFS(tblAcctSummary[Income_Interest_Base],tblAcctSummary[Account_ID],A155),0))</f>
        <v/>
      </c>
      <c r="H155" s="5">
        <f>IF(A155="","",IF(IFERROR(XLOOKUP(A155,tblAccounts[Account_ID],tblAccounts[Include],FALSE),FALSE),SUMIFS(tblAcctSummary[Income_Dividends_Base],tblAcctSummary[Account_ID],A155),0))</f>
        <v/>
      </c>
      <c r="I155" s="5">
        <f>IF(A155="","",IF(IFERROR(XLOOKUP(A155,tblAccounts[Account_ID],tblAccounts[Include],FALSE),FALSE),SUMIFS(tblAcctSummary[Income_Other_Base],tblAcctSummary[Account_ID],A155),0))</f>
        <v/>
      </c>
      <c r="J155" s="5">
        <f>IF(A155="","",SUM(G155:I155))</f>
        <v/>
      </c>
      <c r="K155" s="5">
        <f>IF(A155="","",IF(IFERROR(XLOOKUP(A155,tblAccounts[Account_ID],tblAccounts[Include],FALSE),FALSE),SUMIFS(tblAcctSummary[Realized_GL_Base],tblAcctSummary[Account_ID],A155),0))</f>
        <v/>
      </c>
      <c r="L155" s="5">
        <f>IF(A155="","",IF(IFERROR(XLOOKUP(A155,tblAccounts[Account_ID],tblAccounts[Include],FALSE),FALSE),SUMIFS(tblAcctSummary[Fees_Base],tblAcctSummary[Account_ID],A155),0))</f>
        <v/>
      </c>
      <c r="M155" s="5">
        <f>IF(A155="","",IF(IFERROR(XLOOKUP(A155,tblAccounts[Account_ID],tblAccounts[Include],FALSE),FALSE),SUMIFS(tblAcctSummary[Taxes_Base],tblAcctSummary[Account_ID],A155),0))</f>
        <v/>
      </c>
      <c r="N155" s="5">
        <f>IF(A155="","",IF(IFERROR(XLOOKUP(A155,tblAccounts[Account_ID],tblAccounts[Include],FALSE),FALSE),IFERROR(SUMPRODUCT(tblAcctSummary[Return_Period],tblAcctSummary[Begin_Balance_Base],--(tblAcctSummary[Account_ID]=A155))/IF(SUMIFS(tblAcctSummary[Begin_Balance_Base],tblAcctSummary[Account_ID],A155)=0,NA(),SUMIFS(tblAcctSummary[Begin_Balance_Base],tblAcctSummary[Account_ID],A155)),0),0))</f>
        <v/>
      </c>
    </row>
    <row r="156">
      <c r="A156" s="5">
        <f>IFERROR(INDEX(tblAccounts[Account_ID],153),"")</f>
        <v/>
      </c>
      <c r="B156" s="5">
        <f>IF(A156="","",IFERROR(XLOOKUP(A156,tblAccounts[Account_ID],tblAccounts[Account_Name],""),""))</f>
        <v/>
      </c>
      <c r="C156" s="5">
        <f>IF(A156="","",IFERROR(XLOOKUP(A156,tblAccounts[Account_ID],tblAccounts[Household_ID],""),""))</f>
        <v/>
      </c>
      <c r="D156" s="5">
        <f>IF(A156="","",IF(IFERROR(XLOOKUP(A156,tblAccounts[Account_ID],tblAccounts[Include],FALSE),FALSE),SUMIFS(tblAcctSummary[Begin_Balance_Base],tblAcctSummary[Account_ID],A156),0))</f>
        <v/>
      </c>
      <c r="E156" s="5">
        <f>IF(A156="","",IF(IFERROR(XLOOKUP(A156,tblAccounts[Account_ID],tblAccounts[Include],FALSE),FALSE),SUMIFS(tblAcctSummary[End_Balance_Base],tblAcctSummary[Account_ID],A156),0))</f>
        <v/>
      </c>
      <c r="F156" s="5">
        <f>IF(A156="","",IF(IFERROR(XLOOKUP(A156,tblAccounts[Account_ID],tblAccounts[Include],FALSE),FALSE),SUMIFS(tblAcctSummary[Net_Contrib_Base],tblAcctSummary[Account_ID],A156),0))</f>
        <v/>
      </c>
      <c r="G156" s="5">
        <f>IF(A156="","",IF(IFERROR(XLOOKUP(A156,tblAccounts[Account_ID],tblAccounts[Include],FALSE),FALSE),SUMIFS(tblAcctSummary[Income_Interest_Base],tblAcctSummary[Account_ID],A156),0))</f>
        <v/>
      </c>
      <c r="H156" s="5">
        <f>IF(A156="","",IF(IFERROR(XLOOKUP(A156,tblAccounts[Account_ID],tblAccounts[Include],FALSE),FALSE),SUMIFS(tblAcctSummary[Income_Dividends_Base],tblAcctSummary[Account_ID],A156),0))</f>
        <v/>
      </c>
      <c r="I156" s="5">
        <f>IF(A156="","",IF(IFERROR(XLOOKUP(A156,tblAccounts[Account_ID],tblAccounts[Include],FALSE),FALSE),SUMIFS(tblAcctSummary[Income_Other_Base],tblAcctSummary[Account_ID],A156),0))</f>
        <v/>
      </c>
      <c r="J156" s="5">
        <f>IF(A156="","",SUM(G156:I156))</f>
        <v/>
      </c>
      <c r="K156" s="5">
        <f>IF(A156="","",IF(IFERROR(XLOOKUP(A156,tblAccounts[Account_ID],tblAccounts[Include],FALSE),FALSE),SUMIFS(tblAcctSummary[Realized_GL_Base],tblAcctSummary[Account_ID],A156),0))</f>
        <v/>
      </c>
      <c r="L156" s="5">
        <f>IF(A156="","",IF(IFERROR(XLOOKUP(A156,tblAccounts[Account_ID],tblAccounts[Include],FALSE),FALSE),SUMIFS(tblAcctSummary[Fees_Base],tblAcctSummary[Account_ID],A156),0))</f>
        <v/>
      </c>
      <c r="M156" s="5">
        <f>IF(A156="","",IF(IFERROR(XLOOKUP(A156,tblAccounts[Account_ID],tblAccounts[Include],FALSE),FALSE),SUMIFS(tblAcctSummary[Taxes_Base],tblAcctSummary[Account_ID],A156),0))</f>
        <v/>
      </c>
      <c r="N156" s="5">
        <f>IF(A156="","",IF(IFERROR(XLOOKUP(A156,tblAccounts[Account_ID],tblAccounts[Include],FALSE),FALSE),IFERROR(SUMPRODUCT(tblAcctSummary[Return_Period],tblAcctSummary[Begin_Balance_Base],--(tblAcctSummary[Account_ID]=A156))/IF(SUMIFS(tblAcctSummary[Begin_Balance_Base],tblAcctSummary[Account_ID],A156)=0,NA(),SUMIFS(tblAcctSummary[Begin_Balance_Base],tblAcctSummary[Account_ID],A156)),0),0))</f>
        <v/>
      </c>
    </row>
    <row r="157">
      <c r="A157" s="5">
        <f>IFERROR(INDEX(tblAccounts[Account_ID],154),"")</f>
        <v/>
      </c>
      <c r="B157" s="5">
        <f>IF(A157="","",IFERROR(XLOOKUP(A157,tblAccounts[Account_ID],tblAccounts[Account_Name],""),""))</f>
        <v/>
      </c>
      <c r="C157" s="5">
        <f>IF(A157="","",IFERROR(XLOOKUP(A157,tblAccounts[Account_ID],tblAccounts[Household_ID],""),""))</f>
        <v/>
      </c>
      <c r="D157" s="5">
        <f>IF(A157="","",IF(IFERROR(XLOOKUP(A157,tblAccounts[Account_ID],tblAccounts[Include],FALSE),FALSE),SUMIFS(tblAcctSummary[Begin_Balance_Base],tblAcctSummary[Account_ID],A157),0))</f>
        <v/>
      </c>
      <c r="E157" s="5">
        <f>IF(A157="","",IF(IFERROR(XLOOKUP(A157,tblAccounts[Account_ID],tblAccounts[Include],FALSE),FALSE),SUMIFS(tblAcctSummary[End_Balance_Base],tblAcctSummary[Account_ID],A157),0))</f>
        <v/>
      </c>
      <c r="F157" s="5">
        <f>IF(A157="","",IF(IFERROR(XLOOKUP(A157,tblAccounts[Account_ID],tblAccounts[Include],FALSE),FALSE),SUMIFS(tblAcctSummary[Net_Contrib_Base],tblAcctSummary[Account_ID],A157),0))</f>
        <v/>
      </c>
      <c r="G157" s="5">
        <f>IF(A157="","",IF(IFERROR(XLOOKUP(A157,tblAccounts[Account_ID],tblAccounts[Include],FALSE),FALSE),SUMIFS(tblAcctSummary[Income_Interest_Base],tblAcctSummary[Account_ID],A157),0))</f>
        <v/>
      </c>
      <c r="H157" s="5">
        <f>IF(A157="","",IF(IFERROR(XLOOKUP(A157,tblAccounts[Account_ID],tblAccounts[Include],FALSE),FALSE),SUMIFS(tblAcctSummary[Income_Dividends_Base],tblAcctSummary[Account_ID],A157),0))</f>
        <v/>
      </c>
      <c r="I157" s="5">
        <f>IF(A157="","",IF(IFERROR(XLOOKUP(A157,tblAccounts[Account_ID],tblAccounts[Include],FALSE),FALSE),SUMIFS(tblAcctSummary[Income_Other_Base],tblAcctSummary[Account_ID],A157),0))</f>
        <v/>
      </c>
      <c r="J157" s="5">
        <f>IF(A157="","",SUM(G157:I157))</f>
        <v/>
      </c>
      <c r="K157" s="5">
        <f>IF(A157="","",IF(IFERROR(XLOOKUP(A157,tblAccounts[Account_ID],tblAccounts[Include],FALSE),FALSE),SUMIFS(tblAcctSummary[Realized_GL_Base],tblAcctSummary[Account_ID],A157),0))</f>
        <v/>
      </c>
      <c r="L157" s="5">
        <f>IF(A157="","",IF(IFERROR(XLOOKUP(A157,tblAccounts[Account_ID],tblAccounts[Include],FALSE),FALSE),SUMIFS(tblAcctSummary[Fees_Base],tblAcctSummary[Account_ID],A157),0))</f>
        <v/>
      </c>
      <c r="M157" s="5">
        <f>IF(A157="","",IF(IFERROR(XLOOKUP(A157,tblAccounts[Account_ID],tblAccounts[Include],FALSE),FALSE),SUMIFS(tblAcctSummary[Taxes_Base],tblAcctSummary[Account_ID],A157),0))</f>
        <v/>
      </c>
      <c r="N157" s="5">
        <f>IF(A157="","",IF(IFERROR(XLOOKUP(A157,tblAccounts[Account_ID],tblAccounts[Include],FALSE),FALSE),IFERROR(SUMPRODUCT(tblAcctSummary[Return_Period],tblAcctSummary[Begin_Balance_Base],--(tblAcctSummary[Account_ID]=A157))/IF(SUMIFS(tblAcctSummary[Begin_Balance_Base],tblAcctSummary[Account_ID],A157)=0,NA(),SUMIFS(tblAcctSummary[Begin_Balance_Base],tblAcctSummary[Account_ID],A157)),0),0))</f>
        <v/>
      </c>
    </row>
    <row r="158">
      <c r="A158" s="5">
        <f>IFERROR(INDEX(tblAccounts[Account_ID],155),"")</f>
        <v/>
      </c>
      <c r="B158" s="5">
        <f>IF(A158="","",IFERROR(XLOOKUP(A158,tblAccounts[Account_ID],tblAccounts[Account_Name],""),""))</f>
        <v/>
      </c>
      <c r="C158" s="5">
        <f>IF(A158="","",IFERROR(XLOOKUP(A158,tblAccounts[Account_ID],tblAccounts[Household_ID],""),""))</f>
        <v/>
      </c>
      <c r="D158" s="5">
        <f>IF(A158="","",IF(IFERROR(XLOOKUP(A158,tblAccounts[Account_ID],tblAccounts[Include],FALSE),FALSE),SUMIFS(tblAcctSummary[Begin_Balance_Base],tblAcctSummary[Account_ID],A158),0))</f>
        <v/>
      </c>
      <c r="E158" s="5">
        <f>IF(A158="","",IF(IFERROR(XLOOKUP(A158,tblAccounts[Account_ID],tblAccounts[Include],FALSE),FALSE),SUMIFS(tblAcctSummary[End_Balance_Base],tblAcctSummary[Account_ID],A158),0))</f>
        <v/>
      </c>
      <c r="F158" s="5">
        <f>IF(A158="","",IF(IFERROR(XLOOKUP(A158,tblAccounts[Account_ID],tblAccounts[Include],FALSE),FALSE),SUMIFS(tblAcctSummary[Net_Contrib_Base],tblAcctSummary[Account_ID],A158),0))</f>
        <v/>
      </c>
      <c r="G158" s="5">
        <f>IF(A158="","",IF(IFERROR(XLOOKUP(A158,tblAccounts[Account_ID],tblAccounts[Include],FALSE),FALSE),SUMIFS(tblAcctSummary[Income_Interest_Base],tblAcctSummary[Account_ID],A158),0))</f>
        <v/>
      </c>
      <c r="H158" s="5">
        <f>IF(A158="","",IF(IFERROR(XLOOKUP(A158,tblAccounts[Account_ID],tblAccounts[Include],FALSE),FALSE),SUMIFS(tblAcctSummary[Income_Dividends_Base],tblAcctSummary[Account_ID],A158),0))</f>
        <v/>
      </c>
      <c r="I158" s="5">
        <f>IF(A158="","",IF(IFERROR(XLOOKUP(A158,tblAccounts[Account_ID],tblAccounts[Include],FALSE),FALSE),SUMIFS(tblAcctSummary[Income_Other_Base],tblAcctSummary[Account_ID],A158),0))</f>
        <v/>
      </c>
      <c r="J158" s="5">
        <f>IF(A158="","",SUM(G158:I158))</f>
        <v/>
      </c>
      <c r="K158" s="5">
        <f>IF(A158="","",IF(IFERROR(XLOOKUP(A158,tblAccounts[Account_ID],tblAccounts[Include],FALSE),FALSE),SUMIFS(tblAcctSummary[Realized_GL_Base],tblAcctSummary[Account_ID],A158),0))</f>
        <v/>
      </c>
      <c r="L158" s="5">
        <f>IF(A158="","",IF(IFERROR(XLOOKUP(A158,tblAccounts[Account_ID],tblAccounts[Include],FALSE),FALSE),SUMIFS(tblAcctSummary[Fees_Base],tblAcctSummary[Account_ID],A158),0))</f>
        <v/>
      </c>
      <c r="M158" s="5">
        <f>IF(A158="","",IF(IFERROR(XLOOKUP(A158,tblAccounts[Account_ID],tblAccounts[Include],FALSE),FALSE),SUMIFS(tblAcctSummary[Taxes_Base],tblAcctSummary[Account_ID],A158),0))</f>
        <v/>
      </c>
      <c r="N158" s="5">
        <f>IF(A158="","",IF(IFERROR(XLOOKUP(A158,tblAccounts[Account_ID],tblAccounts[Include],FALSE),FALSE),IFERROR(SUMPRODUCT(tblAcctSummary[Return_Period],tblAcctSummary[Begin_Balance_Base],--(tblAcctSummary[Account_ID]=A158))/IF(SUMIFS(tblAcctSummary[Begin_Balance_Base],tblAcctSummary[Account_ID],A158)=0,NA(),SUMIFS(tblAcctSummary[Begin_Balance_Base],tblAcctSummary[Account_ID],A158)),0),0))</f>
        <v/>
      </c>
    </row>
    <row r="159">
      <c r="A159" s="5">
        <f>IFERROR(INDEX(tblAccounts[Account_ID],156),"")</f>
        <v/>
      </c>
      <c r="B159" s="5">
        <f>IF(A159="","",IFERROR(XLOOKUP(A159,tblAccounts[Account_ID],tblAccounts[Account_Name],""),""))</f>
        <v/>
      </c>
      <c r="C159" s="5">
        <f>IF(A159="","",IFERROR(XLOOKUP(A159,tblAccounts[Account_ID],tblAccounts[Household_ID],""),""))</f>
        <v/>
      </c>
      <c r="D159" s="5">
        <f>IF(A159="","",IF(IFERROR(XLOOKUP(A159,tblAccounts[Account_ID],tblAccounts[Include],FALSE),FALSE),SUMIFS(tblAcctSummary[Begin_Balance_Base],tblAcctSummary[Account_ID],A159),0))</f>
        <v/>
      </c>
      <c r="E159" s="5">
        <f>IF(A159="","",IF(IFERROR(XLOOKUP(A159,tblAccounts[Account_ID],tblAccounts[Include],FALSE),FALSE),SUMIFS(tblAcctSummary[End_Balance_Base],tblAcctSummary[Account_ID],A159),0))</f>
        <v/>
      </c>
      <c r="F159" s="5">
        <f>IF(A159="","",IF(IFERROR(XLOOKUP(A159,tblAccounts[Account_ID],tblAccounts[Include],FALSE),FALSE),SUMIFS(tblAcctSummary[Net_Contrib_Base],tblAcctSummary[Account_ID],A159),0))</f>
        <v/>
      </c>
      <c r="G159" s="5">
        <f>IF(A159="","",IF(IFERROR(XLOOKUP(A159,tblAccounts[Account_ID],tblAccounts[Include],FALSE),FALSE),SUMIFS(tblAcctSummary[Income_Interest_Base],tblAcctSummary[Account_ID],A159),0))</f>
        <v/>
      </c>
      <c r="H159" s="5">
        <f>IF(A159="","",IF(IFERROR(XLOOKUP(A159,tblAccounts[Account_ID],tblAccounts[Include],FALSE),FALSE),SUMIFS(tblAcctSummary[Income_Dividends_Base],tblAcctSummary[Account_ID],A159),0))</f>
        <v/>
      </c>
      <c r="I159" s="5">
        <f>IF(A159="","",IF(IFERROR(XLOOKUP(A159,tblAccounts[Account_ID],tblAccounts[Include],FALSE),FALSE),SUMIFS(tblAcctSummary[Income_Other_Base],tblAcctSummary[Account_ID],A159),0))</f>
        <v/>
      </c>
      <c r="J159" s="5">
        <f>IF(A159="","",SUM(G159:I159))</f>
        <v/>
      </c>
      <c r="K159" s="5">
        <f>IF(A159="","",IF(IFERROR(XLOOKUP(A159,tblAccounts[Account_ID],tblAccounts[Include],FALSE),FALSE),SUMIFS(tblAcctSummary[Realized_GL_Base],tblAcctSummary[Account_ID],A159),0))</f>
        <v/>
      </c>
      <c r="L159" s="5">
        <f>IF(A159="","",IF(IFERROR(XLOOKUP(A159,tblAccounts[Account_ID],tblAccounts[Include],FALSE),FALSE),SUMIFS(tblAcctSummary[Fees_Base],tblAcctSummary[Account_ID],A159),0))</f>
        <v/>
      </c>
      <c r="M159" s="5">
        <f>IF(A159="","",IF(IFERROR(XLOOKUP(A159,tblAccounts[Account_ID],tblAccounts[Include],FALSE),FALSE),SUMIFS(tblAcctSummary[Taxes_Base],tblAcctSummary[Account_ID],A159),0))</f>
        <v/>
      </c>
      <c r="N159" s="5">
        <f>IF(A159="","",IF(IFERROR(XLOOKUP(A159,tblAccounts[Account_ID],tblAccounts[Include],FALSE),FALSE),IFERROR(SUMPRODUCT(tblAcctSummary[Return_Period],tblAcctSummary[Begin_Balance_Base],--(tblAcctSummary[Account_ID]=A159))/IF(SUMIFS(tblAcctSummary[Begin_Balance_Base],tblAcctSummary[Account_ID],A159)=0,NA(),SUMIFS(tblAcctSummary[Begin_Balance_Base],tblAcctSummary[Account_ID],A159)),0),0))</f>
        <v/>
      </c>
    </row>
    <row r="160">
      <c r="A160" s="5">
        <f>IFERROR(INDEX(tblAccounts[Account_ID],157),"")</f>
        <v/>
      </c>
      <c r="B160" s="5">
        <f>IF(A160="","",IFERROR(XLOOKUP(A160,tblAccounts[Account_ID],tblAccounts[Account_Name],""),""))</f>
        <v/>
      </c>
      <c r="C160" s="5">
        <f>IF(A160="","",IFERROR(XLOOKUP(A160,tblAccounts[Account_ID],tblAccounts[Household_ID],""),""))</f>
        <v/>
      </c>
      <c r="D160" s="5">
        <f>IF(A160="","",IF(IFERROR(XLOOKUP(A160,tblAccounts[Account_ID],tblAccounts[Include],FALSE),FALSE),SUMIFS(tblAcctSummary[Begin_Balance_Base],tblAcctSummary[Account_ID],A160),0))</f>
        <v/>
      </c>
      <c r="E160" s="5">
        <f>IF(A160="","",IF(IFERROR(XLOOKUP(A160,tblAccounts[Account_ID],tblAccounts[Include],FALSE),FALSE),SUMIFS(tblAcctSummary[End_Balance_Base],tblAcctSummary[Account_ID],A160),0))</f>
        <v/>
      </c>
      <c r="F160" s="5">
        <f>IF(A160="","",IF(IFERROR(XLOOKUP(A160,tblAccounts[Account_ID],tblAccounts[Include],FALSE),FALSE),SUMIFS(tblAcctSummary[Net_Contrib_Base],tblAcctSummary[Account_ID],A160),0))</f>
        <v/>
      </c>
      <c r="G160" s="5">
        <f>IF(A160="","",IF(IFERROR(XLOOKUP(A160,tblAccounts[Account_ID],tblAccounts[Include],FALSE),FALSE),SUMIFS(tblAcctSummary[Income_Interest_Base],tblAcctSummary[Account_ID],A160),0))</f>
        <v/>
      </c>
      <c r="H160" s="5">
        <f>IF(A160="","",IF(IFERROR(XLOOKUP(A160,tblAccounts[Account_ID],tblAccounts[Include],FALSE),FALSE),SUMIFS(tblAcctSummary[Income_Dividends_Base],tblAcctSummary[Account_ID],A160),0))</f>
        <v/>
      </c>
      <c r="I160" s="5">
        <f>IF(A160="","",IF(IFERROR(XLOOKUP(A160,tblAccounts[Account_ID],tblAccounts[Include],FALSE),FALSE),SUMIFS(tblAcctSummary[Income_Other_Base],tblAcctSummary[Account_ID],A160),0))</f>
        <v/>
      </c>
      <c r="J160" s="5">
        <f>IF(A160="","",SUM(G160:I160))</f>
        <v/>
      </c>
      <c r="K160" s="5">
        <f>IF(A160="","",IF(IFERROR(XLOOKUP(A160,tblAccounts[Account_ID],tblAccounts[Include],FALSE),FALSE),SUMIFS(tblAcctSummary[Realized_GL_Base],tblAcctSummary[Account_ID],A160),0))</f>
        <v/>
      </c>
      <c r="L160" s="5">
        <f>IF(A160="","",IF(IFERROR(XLOOKUP(A160,tblAccounts[Account_ID],tblAccounts[Include],FALSE),FALSE),SUMIFS(tblAcctSummary[Fees_Base],tblAcctSummary[Account_ID],A160),0))</f>
        <v/>
      </c>
      <c r="M160" s="5">
        <f>IF(A160="","",IF(IFERROR(XLOOKUP(A160,tblAccounts[Account_ID],tblAccounts[Include],FALSE),FALSE),SUMIFS(tblAcctSummary[Taxes_Base],tblAcctSummary[Account_ID],A160),0))</f>
        <v/>
      </c>
      <c r="N160" s="5">
        <f>IF(A160="","",IF(IFERROR(XLOOKUP(A160,tblAccounts[Account_ID],tblAccounts[Include],FALSE),FALSE),IFERROR(SUMPRODUCT(tblAcctSummary[Return_Period],tblAcctSummary[Begin_Balance_Base],--(tblAcctSummary[Account_ID]=A160))/IF(SUMIFS(tblAcctSummary[Begin_Balance_Base],tblAcctSummary[Account_ID],A160)=0,NA(),SUMIFS(tblAcctSummary[Begin_Balance_Base],tblAcctSummary[Account_ID],A160)),0),0))</f>
        <v/>
      </c>
    </row>
    <row r="161">
      <c r="A161" s="5">
        <f>IFERROR(INDEX(tblAccounts[Account_ID],158),"")</f>
        <v/>
      </c>
      <c r="B161" s="5">
        <f>IF(A161="","",IFERROR(XLOOKUP(A161,tblAccounts[Account_ID],tblAccounts[Account_Name],""),""))</f>
        <v/>
      </c>
      <c r="C161" s="5">
        <f>IF(A161="","",IFERROR(XLOOKUP(A161,tblAccounts[Account_ID],tblAccounts[Household_ID],""),""))</f>
        <v/>
      </c>
      <c r="D161" s="5">
        <f>IF(A161="","",IF(IFERROR(XLOOKUP(A161,tblAccounts[Account_ID],tblAccounts[Include],FALSE),FALSE),SUMIFS(tblAcctSummary[Begin_Balance_Base],tblAcctSummary[Account_ID],A161),0))</f>
        <v/>
      </c>
      <c r="E161" s="5">
        <f>IF(A161="","",IF(IFERROR(XLOOKUP(A161,tblAccounts[Account_ID],tblAccounts[Include],FALSE),FALSE),SUMIFS(tblAcctSummary[End_Balance_Base],tblAcctSummary[Account_ID],A161),0))</f>
        <v/>
      </c>
      <c r="F161" s="5">
        <f>IF(A161="","",IF(IFERROR(XLOOKUP(A161,tblAccounts[Account_ID],tblAccounts[Include],FALSE),FALSE),SUMIFS(tblAcctSummary[Net_Contrib_Base],tblAcctSummary[Account_ID],A161),0))</f>
        <v/>
      </c>
      <c r="G161" s="5">
        <f>IF(A161="","",IF(IFERROR(XLOOKUP(A161,tblAccounts[Account_ID],tblAccounts[Include],FALSE),FALSE),SUMIFS(tblAcctSummary[Income_Interest_Base],tblAcctSummary[Account_ID],A161),0))</f>
        <v/>
      </c>
      <c r="H161" s="5">
        <f>IF(A161="","",IF(IFERROR(XLOOKUP(A161,tblAccounts[Account_ID],tblAccounts[Include],FALSE),FALSE),SUMIFS(tblAcctSummary[Income_Dividends_Base],tblAcctSummary[Account_ID],A161),0))</f>
        <v/>
      </c>
      <c r="I161" s="5">
        <f>IF(A161="","",IF(IFERROR(XLOOKUP(A161,tblAccounts[Account_ID],tblAccounts[Include],FALSE),FALSE),SUMIFS(tblAcctSummary[Income_Other_Base],tblAcctSummary[Account_ID],A161),0))</f>
        <v/>
      </c>
      <c r="J161" s="5">
        <f>IF(A161="","",SUM(G161:I161))</f>
        <v/>
      </c>
      <c r="K161" s="5">
        <f>IF(A161="","",IF(IFERROR(XLOOKUP(A161,tblAccounts[Account_ID],tblAccounts[Include],FALSE),FALSE),SUMIFS(tblAcctSummary[Realized_GL_Base],tblAcctSummary[Account_ID],A161),0))</f>
        <v/>
      </c>
      <c r="L161" s="5">
        <f>IF(A161="","",IF(IFERROR(XLOOKUP(A161,tblAccounts[Account_ID],tblAccounts[Include],FALSE),FALSE),SUMIFS(tblAcctSummary[Fees_Base],tblAcctSummary[Account_ID],A161),0))</f>
        <v/>
      </c>
      <c r="M161" s="5">
        <f>IF(A161="","",IF(IFERROR(XLOOKUP(A161,tblAccounts[Account_ID],tblAccounts[Include],FALSE),FALSE),SUMIFS(tblAcctSummary[Taxes_Base],tblAcctSummary[Account_ID],A161),0))</f>
        <v/>
      </c>
      <c r="N161" s="5">
        <f>IF(A161="","",IF(IFERROR(XLOOKUP(A161,tblAccounts[Account_ID],tblAccounts[Include],FALSE),FALSE),IFERROR(SUMPRODUCT(tblAcctSummary[Return_Period],tblAcctSummary[Begin_Balance_Base],--(tblAcctSummary[Account_ID]=A161))/IF(SUMIFS(tblAcctSummary[Begin_Balance_Base],tblAcctSummary[Account_ID],A161)=0,NA(),SUMIFS(tblAcctSummary[Begin_Balance_Base],tblAcctSummary[Account_ID],A161)),0),0))</f>
        <v/>
      </c>
    </row>
    <row r="162">
      <c r="A162" s="5">
        <f>IFERROR(INDEX(tblAccounts[Account_ID],159),"")</f>
        <v/>
      </c>
      <c r="B162" s="5">
        <f>IF(A162="","",IFERROR(XLOOKUP(A162,tblAccounts[Account_ID],tblAccounts[Account_Name],""),""))</f>
        <v/>
      </c>
      <c r="C162" s="5">
        <f>IF(A162="","",IFERROR(XLOOKUP(A162,tblAccounts[Account_ID],tblAccounts[Household_ID],""),""))</f>
        <v/>
      </c>
      <c r="D162" s="5">
        <f>IF(A162="","",IF(IFERROR(XLOOKUP(A162,tblAccounts[Account_ID],tblAccounts[Include],FALSE),FALSE),SUMIFS(tblAcctSummary[Begin_Balance_Base],tblAcctSummary[Account_ID],A162),0))</f>
        <v/>
      </c>
      <c r="E162" s="5">
        <f>IF(A162="","",IF(IFERROR(XLOOKUP(A162,tblAccounts[Account_ID],tblAccounts[Include],FALSE),FALSE),SUMIFS(tblAcctSummary[End_Balance_Base],tblAcctSummary[Account_ID],A162),0))</f>
        <v/>
      </c>
      <c r="F162" s="5">
        <f>IF(A162="","",IF(IFERROR(XLOOKUP(A162,tblAccounts[Account_ID],tblAccounts[Include],FALSE),FALSE),SUMIFS(tblAcctSummary[Net_Contrib_Base],tblAcctSummary[Account_ID],A162),0))</f>
        <v/>
      </c>
      <c r="G162" s="5">
        <f>IF(A162="","",IF(IFERROR(XLOOKUP(A162,tblAccounts[Account_ID],tblAccounts[Include],FALSE),FALSE),SUMIFS(tblAcctSummary[Income_Interest_Base],tblAcctSummary[Account_ID],A162),0))</f>
        <v/>
      </c>
      <c r="H162" s="5">
        <f>IF(A162="","",IF(IFERROR(XLOOKUP(A162,tblAccounts[Account_ID],tblAccounts[Include],FALSE),FALSE),SUMIFS(tblAcctSummary[Income_Dividends_Base],tblAcctSummary[Account_ID],A162),0))</f>
        <v/>
      </c>
      <c r="I162" s="5">
        <f>IF(A162="","",IF(IFERROR(XLOOKUP(A162,tblAccounts[Account_ID],tblAccounts[Include],FALSE),FALSE),SUMIFS(tblAcctSummary[Income_Other_Base],tblAcctSummary[Account_ID],A162),0))</f>
        <v/>
      </c>
      <c r="J162" s="5">
        <f>IF(A162="","",SUM(G162:I162))</f>
        <v/>
      </c>
      <c r="K162" s="5">
        <f>IF(A162="","",IF(IFERROR(XLOOKUP(A162,tblAccounts[Account_ID],tblAccounts[Include],FALSE),FALSE),SUMIFS(tblAcctSummary[Realized_GL_Base],tblAcctSummary[Account_ID],A162),0))</f>
        <v/>
      </c>
      <c r="L162" s="5">
        <f>IF(A162="","",IF(IFERROR(XLOOKUP(A162,tblAccounts[Account_ID],tblAccounts[Include],FALSE),FALSE),SUMIFS(tblAcctSummary[Fees_Base],tblAcctSummary[Account_ID],A162),0))</f>
        <v/>
      </c>
      <c r="M162" s="5">
        <f>IF(A162="","",IF(IFERROR(XLOOKUP(A162,tblAccounts[Account_ID],tblAccounts[Include],FALSE),FALSE),SUMIFS(tblAcctSummary[Taxes_Base],tblAcctSummary[Account_ID],A162),0))</f>
        <v/>
      </c>
      <c r="N162" s="5">
        <f>IF(A162="","",IF(IFERROR(XLOOKUP(A162,tblAccounts[Account_ID],tblAccounts[Include],FALSE),FALSE),IFERROR(SUMPRODUCT(tblAcctSummary[Return_Period],tblAcctSummary[Begin_Balance_Base],--(tblAcctSummary[Account_ID]=A162))/IF(SUMIFS(tblAcctSummary[Begin_Balance_Base],tblAcctSummary[Account_ID],A162)=0,NA(),SUMIFS(tblAcctSummary[Begin_Balance_Base],tblAcctSummary[Account_ID],A162)),0),0))</f>
        <v/>
      </c>
    </row>
    <row r="163">
      <c r="A163" s="5">
        <f>IFERROR(INDEX(tblAccounts[Account_ID],160),"")</f>
        <v/>
      </c>
      <c r="B163" s="5">
        <f>IF(A163="","",IFERROR(XLOOKUP(A163,tblAccounts[Account_ID],tblAccounts[Account_Name],""),""))</f>
        <v/>
      </c>
      <c r="C163" s="5">
        <f>IF(A163="","",IFERROR(XLOOKUP(A163,tblAccounts[Account_ID],tblAccounts[Household_ID],""),""))</f>
        <v/>
      </c>
      <c r="D163" s="5">
        <f>IF(A163="","",IF(IFERROR(XLOOKUP(A163,tblAccounts[Account_ID],tblAccounts[Include],FALSE),FALSE),SUMIFS(tblAcctSummary[Begin_Balance_Base],tblAcctSummary[Account_ID],A163),0))</f>
        <v/>
      </c>
      <c r="E163" s="5">
        <f>IF(A163="","",IF(IFERROR(XLOOKUP(A163,tblAccounts[Account_ID],tblAccounts[Include],FALSE),FALSE),SUMIFS(tblAcctSummary[End_Balance_Base],tblAcctSummary[Account_ID],A163),0))</f>
        <v/>
      </c>
      <c r="F163" s="5">
        <f>IF(A163="","",IF(IFERROR(XLOOKUP(A163,tblAccounts[Account_ID],tblAccounts[Include],FALSE),FALSE),SUMIFS(tblAcctSummary[Net_Contrib_Base],tblAcctSummary[Account_ID],A163),0))</f>
        <v/>
      </c>
      <c r="G163" s="5">
        <f>IF(A163="","",IF(IFERROR(XLOOKUP(A163,tblAccounts[Account_ID],tblAccounts[Include],FALSE),FALSE),SUMIFS(tblAcctSummary[Income_Interest_Base],tblAcctSummary[Account_ID],A163),0))</f>
        <v/>
      </c>
      <c r="H163" s="5">
        <f>IF(A163="","",IF(IFERROR(XLOOKUP(A163,tblAccounts[Account_ID],tblAccounts[Include],FALSE),FALSE),SUMIFS(tblAcctSummary[Income_Dividends_Base],tblAcctSummary[Account_ID],A163),0))</f>
        <v/>
      </c>
      <c r="I163" s="5">
        <f>IF(A163="","",IF(IFERROR(XLOOKUP(A163,tblAccounts[Account_ID],tblAccounts[Include],FALSE),FALSE),SUMIFS(tblAcctSummary[Income_Other_Base],tblAcctSummary[Account_ID],A163),0))</f>
        <v/>
      </c>
      <c r="J163" s="5">
        <f>IF(A163="","",SUM(G163:I163))</f>
        <v/>
      </c>
      <c r="K163" s="5">
        <f>IF(A163="","",IF(IFERROR(XLOOKUP(A163,tblAccounts[Account_ID],tblAccounts[Include],FALSE),FALSE),SUMIFS(tblAcctSummary[Realized_GL_Base],tblAcctSummary[Account_ID],A163),0))</f>
        <v/>
      </c>
      <c r="L163" s="5">
        <f>IF(A163="","",IF(IFERROR(XLOOKUP(A163,tblAccounts[Account_ID],tblAccounts[Include],FALSE),FALSE),SUMIFS(tblAcctSummary[Fees_Base],tblAcctSummary[Account_ID],A163),0))</f>
        <v/>
      </c>
      <c r="M163" s="5">
        <f>IF(A163="","",IF(IFERROR(XLOOKUP(A163,tblAccounts[Account_ID],tblAccounts[Include],FALSE),FALSE),SUMIFS(tblAcctSummary[Taxes_Base],tblAcctSummary[Account_ID],A163),0))</f>
        <v/>
      </c>
      <c r="N163" s="5">
        <f>IF(A163="","",IF(IFERROR(XLOOKUP(A163,tblAccounts[Account_ID],tblAccounts[Include],FALSE),FALSE),IFERROR(SUMPRODUCT(tblAcctSummary[Return_Period],tblAcctSummary[Begin_Balance_Base],--(tblAcctSummary[Account_ID]=A163))/IF(SUMIFS(tblAcctSummary[Begin_Balance_Base],tblAcctSummary[Account_ID],A163)=0,NA(),SUMIFS(tblAcctSummary[Begin_Balance_Base],tblAcctSummary[Account_ID],A163)),0),0))</f>
        <v/>
      </c>
    </row>
    <row r="164">
      <c r="A164" s="5">
        <f>IFERROR(INDEX(tblAccounts[Account_ID],161),"")</f>
        <v/>
      </c>
      <c r="B164" s="5">
        <f>IF(A164="","",IFERROR(XLOOKUP(A164,tblAccounts[Account_ID],tblAccounts[Account_Name],""),""))</f>
        <v/>
      </c>
      <c r="C164" s="5">
        <f>IF(A164="","",IFERROR(XLOOKUP(A164,tblAccounts[Account_ID],tblAccounts[Household_ID],""),""))</f>
        <v/>
      </c>
      <c r="D164" s="5">
        <f>IF(A164="","",IF(IFERROR(XLOOKUP(A164,tblAccounts[Account_ID],tblAccounts[Include],FALSE),FALSE),SUMIFS(tblAcctSummary[Begin_Balance_Base],tblAcctSummary[Account_ID],A164),0))</f>
        <v/>
      </c>
      <c r="E164" s="5">
        <f>IF(A164="","",IF(IFERROR(XLOOKUP(A164,tblAccounts[Account_ID],tblAccounts[Include],FALSE),FALSE),SUMIFS(tblAcctSummary[End_Balance_Base],tblAcctSummary[Account_ID],A164),0))</f>
        <v/>
      </c>
      <c r="F164" s="5">
        <f>IF(A164="","",IF(IFERROR(XLOOKUP(A164,tblAccounts[Account_ID],tblAccounts[Include],FALSE),FALSE),SUMIFS(tblAcctSummary[Net_Contrib_Base],tblAcctSummary[Account_ID],A164),0))</f>
        <v/>
      </c>
      <c r="G164" s="5">
        <f>IF(A164="","",IF(IFERROR(XLOOKUP(A164,tblAccounts[Account_ID],tblAccounts[Include],FALSE),FALSE),SUMIFS(tblAcctSummary[Income_Interest_Base],tblAcctSummary[Account_ID],A164),0))</f>
        <v/>
      </c>
      <c r="H164" s="5">
        <f>IF(A164="","",IF(IFERROR(XLOOKUP(A164,tblAccounts[Account_ID],tblAccounts[Include],FALSE),FALSE),SUMIFS(tblAcctSummary[Income_Dividends_Base],tblAcctSummary[Account_ID],A164),0))</f>
        <v/>
      </c>
      <c r="I164" s="5">
        <f>IF(A164="","",IF(IFERROR(XLOOKUP(A164,tblAccounts[Account_ID],tblAccounts[Include],FALSE),FALSE),SUMIFS(tblAcctSummary[Income_Other_Base],tblAcctSummary[Account_ID],A164),0))</f>
        <v/>
      </c>
      <c r="J164" s="5">
        <f>IF(A164="","",SUM(G164:I164))</f>
        <v/>
      </c>
      <c r="K164" s="5">
        <f>IF(A164="","",IF(IFERROR(XLOOKUP(A164,tblAccounts[Account_ID],tblAccounts[Include],FALSE),FALSE),SUMIFS(tblAcctSummary[Realized_GL_Base],tblAcctSummary[Account_ID],A164),0))</f>
        <v/>
      </c>
      <c r="L164" s="5">
        <f>IF(A164="","",IF(IFERROR(XLOOKUP(A164,tblAccounts[Account_ID],tblAccounts[Include],FALSE),FALSE),SUMIFS(tblAcctSummary[Fees_Base],tblAcctSummary[Account_ID],A164),0))</f>
        <v/>
      </c>
      <c r="M164" s="5">
        <f>IF(A164="","",IF(IFERROR(XLOOKUP(A164,tblAccounts[Account_ID],tblAccounts[Include],FALSE),FALSE),SUMIFS(tblAcctSummary[Taxes_Base],tblAcctSummary[Account_ID],A164),0))</f>
        <v/>
      </c>
      <c r="N164" s="5">
        <f>IF(A164="","",IF(IFERROR(XLOOKUP(A164,tblAccounts[Account_ID],tblAccounts[Include],FALSE),FALSE),IFERROR(SUMPRODUCT(tblAcctSummary[Return_Period],tblAcctSummary[Begin_Balance_Base],--(tblAcctSummary[Account_ID]=A164))/IF(SUMIFS(tblAcctSummary[Begin_Balance_Base],tblAcctSummary[Account_ID],A164)=0,NA(),SUMIFS(tblAcctSummary[Begin_Balance_Base],tblAcctSummary[Account_ID],A164)),0),0))</f>
        <v/>
      </c>
    </row>
    <row r="165">
      <c r="A165" s="5">
        <f>IFERROR(INDEX(tblAccounts[Account_ID],162),"")</f>
        <v/>
      </c>
      <c r="B165" s="5">
        <f>IF(A165="","",IFERROR(XLOOKUP(A165,tblAccounts[Account_ID],tblAccounts[Account_Name],""),""))</f>
        <v/>
      </c>
      <c r="C165" s="5">
        <f>IF(A165="","",IFERROR(XLOOKUP(A165,tblAccounts[Account_ID],tblAccounts[Household_ID],""),""))</f>
        <v/>
      </c>
      <c r="D165" s="5">
        <f>IF(A165="","",IF(IFERROR(XLOOKUP(A165,tblAccounts[Account_ID],tblAccounts[Include],FALSE),FALSE),SUMIFS(tblAcctSummary[Begin_Balance_Base],tblAcctSummary[Account_ID],A165),0))</f>
        <v/>
      </c>
      <c r="E165" s="5">
        <f>IF(A165="","",IF(IFERROR(XLOOKUP(A165,tblAccounts[Account_ID],tblAccounts[Include],FALSE),FALSE),SUMIFS(tblAcctSummary[End_Balance_Base],tblAcctSummary[Account_ID],A165),0))</f>
        <v/>
      </c>
      <c r="F165" s="5">
        <f>IF(A165="","",IF(IFERROR(XLOOKUP(A165,tblAccounts[Account_ID],tblAccounts[Include],FALSE),FALSE),SUMIFS(tblAcctSummary[Net_Contrib_Base],tblAcctSummary[Account_ID],A165),0))</f>
        <v/>
      </c>
      <c r="G165" s="5">
        <f>IF(A165="","",IF(IFERROR(XLOOKUP(A165,tblAccounts[Account_ID],tblAccounts[Include],FALSE),FALSE),SUMIFS(tblAcctSummary[Income_Interest_Base],tblAcctSummary[Account_ID],A165),0))</f>
        <v/>
      </c>
      <c r="H165" s="5">
        <f>IF(A165="","",IF(IFERROR(XLOOKUP(A165,tblAccounts[Account_ID],tblAccounts[Include],FALSE),FALSE),SUMIFS(tblAcctSummary[Income_Dividends_Base],tblAcctSummary[Account_ID],A165),0))</f>
        <v/>
      </c>
      <c r="I165" s="5">
        <f>IF(A165="","",IF(IFERROR(XLOOKUP(A165,tblAccounts[Account_ID],tblAccounts[Include],FALSE),FALSE),SUMIFS(tblAcctSummary[Income_Other_Base],tblAcctSummary[Account_ID],A165),0))</f>
        <v/>
      </c>
      <c r="J165" s="5">
        <f>IF(A165="","",SUM(G165:I165))</f>
        <v/>
      </c>
      <c r="K165" s="5">
        <f>IF(A165="","",IF(IFERROR(XLOOKUP(A165,tblAccounts[Account_ID],tblAccounts[Include],FALSE),FALSE),SUMIFS(tblAcctSummary[Realized_GL_Base],tblAcctSummary[Account_ID],A165),0))</f>
        <v/>
      </c>
      <c r="L165" s="5">
        <f>IF(A165="","",IF(IFERROR(XLOOKUP(A165,tblAccounts[Account_ID],tblAccounts[Include],FALSE),FALSE),SUMIFS(tblAcctSummary[Fees_Base],tblAcctSummary[Account_ID],A165),0))</f>
        <v/>
      </c>
      <c r="M165" s="5">
        <f>IF(A165="","",IF(IFERROR(XLOOKUP(A165,tblAccounts[Account_ID],tblAccounts[Include],FALSE),FALSE),SUMIFS(tblAcctSummary[Taxes_Base],tblAcctSummary[Account_ID],A165),0))</f>
        <v/>
      </c>
      <c r="N165" s="5">
        <f>IF(A165="","",IF(IFERROR(XLOOKUP(A165,tblAccounts[Account_ID],tblAccounts[Include],FALSE),FALSE),IFERROR(SUMPRODUCT(tblAcctSummary[Return_Period],tblAcctSummary[Begin_Balance_Base],--(tblAcctSummary[Account_ID]=A165))/IF(SUMIFS(tblAcctSummary[Begin_Balance_Base],tblAcctSummary[Account_ID],A165)=0,NA(),SUMIFS(tblAcctSummary[Begin_Balance_Base],tblAcctSummary[Account_ID],A165)),0),0))</f>
        <v/>
      </c>
    </row>
    <row r="166">
      <c r="A166" s="5">
        <f>IFERROR(INDEX(tblAccounts[Account_ID],163),"")</f>
        <v/>
      </c>
      <c r="B166" s="5">
        <f>IF(A166="","",IFERROR(XLOOKUP(A166,tblAccounts[Account_ID],tblAccounts[Account_Name],""),""))</f>
        <v/>
      </c>
      <c r="C166" s="5">
        <f>IF(A166="","",IFERROR(XLOOKUP(A166,tblAccounts[Account_ID],tblAccounts[Household_ID],""),""))</f>
        <v/>
      </c>
      <c r="D166" s="5">
        <f>IF(A166="","",IF(IFERROR(XLOOKUP(A166,tblAccounts[Account_ID],tblAccounts[Include],FALSE),FALSE),SUMIFS(tblAcctSummary[Begin_Balance_Base],tblAcctSummary[Account_ID],A166),0))</f>
        <v/>
      </c>
      <c r="E166" s="5">
        <f>IF(A166="","",IF(IFERROR(XLOOKUP(A166,tblAccounts[Account_ID],tblAccounts[Include],FALSE),FALSE),SUMIFS(tblAcctSummary[End_Balance_Base],tblAcctSummary[Account_ID],A166),0))</f>
        <v/>
      </c>
      <c r="F166" s="5">
        <f>IF(A166="","",IF(IFERROR(XLOOKUP(A166,tblAccounts[Account_ID],tblAccounts[Include],FALSE),FALSE),SUMIFS(tblAcctSummary[Net_Contrib_Base],tblAcctSummary[Account_ID],A166),0))</f>
        <v/>
      </c>
      <c r="G166" s="5">
        <f>IF(A166="","",IF(IFERROR(XLOOKUP(A166,tblAccounts[Account_ID],tblAccounts[Include],FALSE),FALSE),SUMIFS(tblAcctSummary[Income_Interest_Base],tblAcctSummary[Account_ID],A166),0))</f>
        <v/>
      </c>
      <c r="H166" s="5">
        <f>IF(A166="","",IF(IFERROR(XLOOKUP(A166,tblAccounts[Account_ID],tblAccounts[Include],FALSE),FALSE),SUMIFS(tblAcctSummary[Income_Dividends_Base],tblAcctSummary[Account_ID],A166),0))</f>
        <v/>
      </c>
      <c r="I166" s="5">
        <f>IF(A166="","",IF(IFERROR(XLOOKUP(A166,tblAccounts[Account_ID],tblAccounts[Include],FALSE),FALSE),SUMIFS(tblAcctSummary[Income_Other_Base],tblAcctSummary[Account_ID],A166),0))</f>
        <v/>
      </c>
      <c r="J166" s="5">
        <f>IF(A166="","",SUM(G166:I166))</f>
        <v/>
      </c>
      <c r="K166" s="5">
        <f>IF(A166="","",IF(IFERROR(XLOOKUP(A166,tblAccounts[Account_ID],tblAccounts[Include],FALSE),FALSE),SUMIFS(tblAcctSummary[Realized_GL_Base],tblAcctSummary[Account_ID],A166),0))</f>
        <v/>
      </c>
      <c r="L166" s="5">
        <f>IF(A166="","",IF(IFERROR(XLOOKUP(A166,tblAccounts[Account_ID],tblAccounts[Include],FALSE),FALSE),SUMIFS(tblAcctSummary[Fees_Base],tblAcctSummary[Account_ID],A166),0))</f>
        <v/>
      </c>
      <c r="M166" s="5">
        <f>IF(A166="","",IF(IFERROR(XLOOKUP(A166,tblAccounts[Account_ID],tblAccounts[Include],FALSE),FALSE),SUMIFS(tblAcctSummary[Taxes_Base],tblAcctSummary[Account_ID],A166),0))</f>
        <v/>
      </c>
      <c r="N166" s="5">
        <f>IF(A166="","",IF(IFERROR(XLOOKUP(A166,tblAccounts[Account_ID],tblAccounts[Include],FALSE),FALSE),IFERROR(SUMPRODUCT(tblAcctSummary[Return_Period],tblAcctSummary[Begin_Balance_Base],--(tblAcctSummary[Account_ID]=A166))/IF(SUMIFS(tblAcctSummary[Begin_Balance_Base],tblAcctSummary[Account_ID],A166)=0,NA(),SUMIFS(tblAcctSummary[Begin_Balance_Base],tblAcctSummary[Account_ID],A166)),0),0))</f>
        <v/>
      </c>
    </row>
    <row r="167">
      <c r="A167" s="5">
        <f>IFERROR(INDEX(tblAccounts[Account_ID],164),"")</f>
        <v/>
      </c>
      <c r="B167" s="5">
        <f>IF(A167="","",IFERROR(XLOOKUP(A167,tblAccounts[Account_ID],tblAccounts[Account_Name],""),""))</f>
        <v/>
      </c>
      <c r="C167" s="5">
        <f>IF(A167="","",IFERROR(XLOOKUP(A167,tblAccounts[Account_ID],tblAccounts[Household_ID],""),""))</f>
        <v/>
      </c>
      <c r="D167" s="5">
        <f>IF(A167="","",IF(IFERROR(XLOOKUP(A167,tblAccounts[Account_ID],tblAccounts[Include],FALSE),FALSE),SUMIFS(tblAcctSummary[Begin_Balance_Base],tblAcctSummary[Account_ID],A167),0))</f>
        <v/>
      </c>
      <c r="E167" s="5">
        <f>IF(A167="","",IF(IFERROR(XLOOKUP(A167,tblAccounts[Account_ID],tblAccounts[Include],FALSE),FALSE),SUMIFS(tblAcctSummary[End_Balance_Base],tblAcctSummary[Account_ID],A167),0))</f>
        <v/>
      </c>
      <c r="F167" s="5">
        <f>IF(A167="","",IF(IFERROR(XLOOKUP(A167,tblAccounts[Account_ID],tblAccounts[Include],FALSE),FALSE),SUMIFS(tblAcctSummary[Net_Contrib_Base],tblAcctSummary[Account_ID],A167),0))</f>
        <v/>
      </c>
      <c r="G167" s="5">
        <f>IF(A167="","",IF(IFERROR(XLOOKUP(A167,tblAccounts[Account_ID],tblAccounts[Include],FALSE),FALSE),SUMIFS(tblAcctSummary[Income_Interest_Base],tblAcctSummary[Account_ID],A167),0))</f>
        <v/>
      </c>
      <c r="H167" s="5">
        <f>IF(A167="","",IF(IFERROR(XLOOKUP(A167,tblAccounts[Account_ID],tblAccounts[Include],FALSE),FALSE),SUMIFS(tblAcctSummary[Income_Dividends_Base],tblAcctSummary[Account_ID],A167),0))</f>
        <v/>
      </c>
      <c r="I167" s="5">
        <f>IF(A167="","",IF(IFERROR(XLOOKUP(A167,tblAccounts[Account_ID],tblAccounts[Include],FALSE),FALSE),SUMIFS(tblAcctSummary[Income_Other_Base],tblAcctSummary[Account_ID],A167),0))</f>
        <v/>
      </c>
      <c r="J167" s="5">
        <f>IF(A167="","",SUM(G167:I167))</f>
        <v/>
      </c>
      <c r="K167" s="5">
        <f>IF(A167="","",IF(IFERROR(XLOOKUP(A167,tblAccounts[Account_ID],tblAccounts[Include],FALSE),FALSE),SUMIFS(tblAcctSummary[Realized_GL_Base],tblAcctSummary[Account_ID],A167),0))</f>
        <v/>
      </c>
      <c r="L167" s="5">
        <f>IF(A167="","",IF(IFERROR(XLOOKUP(A167,tblAccounts[Account_ID],tblAccounts[Include],FALSE),FALSE),SUMIFS(tblAcctSummary[Fees_Base],tblAcctSummary[Account_ID],A167),0))</f>
        <v/>
      </c>
      <c r="M167" s="5">
        <f>IF(A167="","",IF(IFERROR(XLOOKUP(A167,tblAccounts[Account_ID],tblAccounts[Include],FALSE),FALSE),SUMIFS(tblAcctSummary[Taxes_Base],tblAcctSummary[Account_ID],A167),0))</f>
        <v/>
      </c>
      <c r="N167" s="5">
        <f>IF(A167="","",IF(IFERROR(XLOOKUP(A167,tblAccounts[Account_ID],tblAccounts[Include],FALSE),FALSE),IFERROR(SUMPRODUCT(tblAcctSummary[Return_Period],tblAcctSummary[Begin_Balance_Base],--(tblAcctSummary[Account_ID]=A167))/IF(SUMIFS(tblAcctSummary[Begin_Balance_Base],tblAcctSummary[Account_ID],A167)=0,NA(),SUMIFS(tblAcctSummary[Begin_Balance_Base],tblAcctSummary[Account_ID],A167)),0),0))</f>
        <v/>
      </c>
    </row>
    <row r="168">
      <c r="A168" s="5">
        <f>IFERROR(INDEX(tblAccounts[Account_ID],165),"")</f>
        <v/>
      </c>
      <c r="B168" s="5">
        <f>IF(A168="","",IFERROR(XLOOKUP(A168,tblAccounts[Account_ID],tblAccounts[Account_Name],""),""))</f>
        <v/>
      </c>
      <c r="C168" s="5">
        <f>IF(A168="","",IFERROR(XLOOKUP(A168,tblAccounts[Account_ID],tblAccounts[Household_ID],""),""))</f>
        <v/>
      </c>
      <c r="D168" s="5">
        <f>IF(A168="","",IF(IFERROR(XLOOKUP(A168,tblAccounts[Account_ID],tblAccounts[Include],FALSE),FALSE),SUMIFS(tblAcctSummary[Begin_Balance_Base],tblAcctSummary[Account_ID],A168),0))</f>
        <v/>
      </c>
      <c r="E168" s="5">
        <f>IF(A168="","",IF(IFERROR(XLOOKUP(A168,tblAccounts[Account_ID],tblAccounts[Include],FALSE),FALSE),SUMIFS(tblAcctSummary[End_Balance_Base],tblAcctSummary[Account_ID],A168),0))</f>
        <v/>
      </c>
      <c r="F168" s="5">
        <f>IF(A168="","",IF(IFERROR(XLOOKUP(A168,tblAccounts[Account_ID],tblAccounts[Include],FALSE),FALSE),SUMIFS(tblAcctSummary[Net_Contrib_Base],tblAcctSummary[Account_ID],A168),0))</f>
        <v/>
      </c>
      <c r="G168" s="5">
        <f>IF(A168="","",IF(IFERROR(XLOOKUP(A168,tblAccounts[Account_ID],tblAccounts[Include],FALSE),FALSE),SUMIFS(tblAcctSummary[Income_Interest_Base],tblAcctSummary[Account_ID],A168),0))</f>
        <v/>
      </c>
      <c r="H168" s="5">
        <f>IF(A168="","",IF(IFERROR(XLOOKUP(A168,tblAccounts[Account_ID],tblAccounts[Include],FALSE),FALSE),SUMIFS(tblAcctSummary[Income_Dividends_Base],tblAcctSummary[Account_ID],A168),0))</f>
        <v/>
      </c>
      <c r="I168" s="5">
        <f>IF(A168="","",IF(IFERROR(XLOOKUP(A168,tblAccounts[Account_ID],tblAccounts[Include],FALSE),FALSE),SUMIFS(tblAcctSummary[Income_Other_Base],tblAcctSummary[Account_ID],A168),0))</f>
        <v/>
      </c>
      <c r="J168" s="5">
        <f>IF(A168="","",SUM(G168:I168))</f>
        <v/>
      </c>
      <c r="K168" s="5">
        <f>IF(A168="","",IF(IFERROR(XLOOKUP(A168,tblAccounts[Account_ID],tblAccounts[Include],FALSE),FALSE),SUMIFS(tblAcctSummary[Realized_GL_Base],tblAcctSummary[Account_ID],A168),0))</f>
        <v/>
      </c>
      <c r="L168" s="5">
        <f>IF(A168="","",IF(IFERROR(XLOOKUP(A168,tblAccounts[Account_ID],tblAccounts[Include],FALSE),FALSE),SUMIFS(tblAcctSummary[Fees_Base],tblAcctSummary[Account_ID],A168),0))</f>
        <v/>
      </c>
      <c r="M168" s="5">
        <f>IF(A168="","",IF(IFERROR(XLOOKUP(A168,tblAccounts[Account_ID],tblAccounts[Include],FALSE),FALSE),SUMIFS(tblAcctSummary[Taxes_Base],tblAcctSummary[Account_ID],A168),0))</f>
        <v/>
      </c>
      <c r="N168" s="5">
        <f>IF(A168="","",IF(IFERROR(XLOOKUP(A168,tblAccounts[Account_ID],tblAccounts[Include],FALSE),FALSE),IFERROR(SUMPRODUCT(tblAcctSummary[Return_Period],tblAcctSummary[Begin_Balance_Base],--(tblAcctSummary[Account_ID]=A168))/IF(SUMIFS(tblAcctSummary[Begin_Balance_Base],tblAcctSummary[Account_ID],A168)=0,NA(),SUMIFS(tblAcctSummary[Begin_Balance_Base],tblAcctSummary[Account_ID],A168)),0),0))</f>
        <v/>
      </c>
    </row>
    <row r="169">
      <c r="A169" s="5">
        <f>IFERROR(INDEX(tblAccounts[Account_ID],166),"")</f>
        <v/>
      </c>
      <c r="B169" s="5">
        <f>IF(A169="","",IFERROR(XLOOKUP(A169,tblAccounts[Account_ID],tblAccounts[Account_Name],""),""))</f>
        <v/>
      </c>
      <c r="C169" s="5">
        <f>IF(A169="","",IFERROR(XLOOKUP(A169,tblAccounts[Account_ID],tblAccounts[Household_ID],""),""))</f>
        <v/>
      </c>
      <c r="D169" s="5">
        <f>IF(A169="","",IF(IFERROR(XLOOKUP(A169,tblAccounts[Account_ID],tblAccounts[Include],FALSE),FALSE),SUMIFS(tblAcctSummary[Begin_Balance_Base],tblAcctSummary[Account_ID],A169),0))</f>
        <v/>
      </c>
      <c r="E169" s="5">
        <f>IF(A169="","",IF(IFERROR(XLOOKUP(A169,tblAccounts[Account_ID],tblAccounts[Include],FALSE),FALSE),SUMIFS(tblAcctSummary[End_Balance_Base],tblAcctSummary[Account_ID],A169),0))</f>
        <v/>
      </c>
      <c r="F169" s="5">
        <f>IF(A169="","",IF(IFERROR(XLOOKUP(A169,tblAccounts[Account_ID],tblAccounts[Include],FALSE),FALSE),SUMIFS(tblAcctSummary[Net_Contrib_Base],tblAcctSummary[Account_ID],A169),0))</f>
        <v/>
      </c>
      <c r="G169" s="5">
        <f>IF(A169="","",IF(IFERROR(XLOOKUP(A169,tblAccounts[Account_ID],tblAccounts[Include],FALSE),FALSE),SUMIFS(tblAcctSummary[Income_Interest_Base],tblAcctSummary[Account_ID],A169),0))</f>
        <v/>
      </c>
      <c r="H169" s="5">
        <f>IF(A169="","",IF(IFERROR(XLOOKUP(A169,tblAccounts[Account_ID],tblAccounts[Include],FALSE),FALSE),SUMIFS(tblAcctSummary[Income_Dividends_Base],tblAcctSummary[Account_ID],A169),0))</f>
        <v/>
      </c>
      <c r="I169" s="5">
        <f>IF(A169="","",IF(IFERROR(XLOOKUP(A169,tblAccounts[Account_ID],tblAccounts[Include],FALSE),FALSE),SUMIFS(tblAcctSummary[Income_Other_Base],tblAcctSummary[Account_ID],A169),0))</f>
        <v/>
      </c>
      <c r="J169" s="5">
        <f>IF(A169="","",SUM(G169:I169))</f>
        <v/>
      </c>
      <c r="K169" s="5">
        <f>IF(A169="","",IF(IFERROR(XLOOKUP(A169,tblAccounts[Account_ID],tblAccounts[Include],FALSE),FALSE),SUMIFS(tblAcctSummary[Realized_GL_Base],tblAcctSummary[Account_ID],A169),0))</f>
        <v/>
      </c>
      <c r="L169" s="5">
        <f>IF(A169="","",IF(IFERROR(XLOOKUP(A169,tblAccounts[Account_ID],tblAccounts[Include],FALSE),FALSE),SUMIFS(tblAcctSummary[Fees_Base],tblAcctSummary[Account_ID],A169),0))</f>
        <v/>
      </c>
      <c r="M169" s="5">
        <f>IF(A169="","",IF(IFERROR(XLOOKUP(A169,tblAccounts[Account_ID],tblAccounts[Include],FALSE),FALSE),SUMIFS(tblAcctSummary[Taxes_Base],tblAcctSummary[Account_ID],A169),0))</f>
        <v/>
      </c>
      <c r="N169" s="5">
        <f>IF(A169="","",IF(IFERROR(XLOOKUP(A169,tblAccounts[Account_ID],tblAccounts[Include],FALSE),FALSE),IFERROR(SUMPRODUCT(tblAcctSummary[Return_Period],tblAcctSummary[Begin_Balance_Base],--(tblAcctSummary[Account_ID]=A169))/IF(SUMIFS(tblAcctSummary[Begin_Balance_Base],tblAcctSummary[Account_ID],A169)=0,NA(),SUMIFS(tblAcctSummary[Begin_Balance_Base],tblAcctSummary[Account_ID],A169)),0),0))</f>
        <v/>
      </c>
    </row>
    <row r="170">
      <c r="A170" s="5">
        <f>IFERROR(INDEX(tblAccounts[Account_ID],167),"")</f>
        <v/>
      </c>
      <c r="B170" s="5">
        <f>IF(A170="","",IFERROR(XLOOKUP(A170,tblAccounts[Account_ID],tblAccounts[Account_Name],""),""))</f>
        <v/>
      </c>
      <c r="C170" s="5">
        <f>IF(A170="","",IFERROR(XLOOKUP(A170,tblAccounts[Account_ID],tblAccounts[Household_ID],""),""))</f>
        <v/>
      </c>
      <c r="D170" s="5">
        <f>IF(A170="","",IF(IFERROR(XLOOKUP(A170,tblAccounts[Account_ID],tblAccounts[Include],FALSE),FALSE),SUMIFS(tblAcctSummary[Begin_Balance_Base],tblAcctSummary[Account_ID],A170),0))</f>
        <v/>
      </c>
      <c r="E170" s="5">
        <f>IF(A170="","",IF(IFERROR(XLOOKUP(A170,tblAccounts[Account_ID],tblAccounts[Include],FALSE),FALSE),SUMIFS(tblAcctSummary[End_Balance_Base],tblAcctSummary[Account_ID],A170),0))</f>
        <v/>
      </c>
      <c r="F170" s="5">
        <f>IF(A170="","",IF(IFERROR(XLOOKUP(A170,tblAccounts[Account_ID],tblAccounts[Include],FALSE),FALSE),SUMIFS(tblAcctSummary[Net_Contrib_Base],tblAcctSummary[Account_ID],A170),0))</f>
        <v/>
      </c>
      <c r="G170" s="5">
        <f>IF(A170="","",IF(IFERROR(XLOOKUP(A170,tblAccounts[Account_ID],tblAccounts[Include],FALSE),FALSE),SUMIFS(tblAcctSummary[Income_Interest_Base],tblAcctSummary[Account_ID],A170),0))</f>
        <v/>
      </c>
      <c r="H170" s="5">
        <f>IF(A170="","",IF(IFERROR(XLOOKUP(A170,tblAccounts[Account_ID],tblAccounts[Include],FALSE),FALSE),SUMIFS(tblAcctSummary[Income_Dividends_Base],tblAcctSummary[Account_ID],A170),0))</f>
        <v/>
      </c>
      <c r="I170" s="5">
        <f>IF(A170="","",IF(IFERROR(XLOOKUP(A170,tblAccounts[Account_ID],tblAccounts[Include],FALSE),FALSE),SUMIFS(tblAcctSummary[Income_Other_Base],tblAcctSummary[Account_ID],A170),0))</f>
        <v/>
      </c>
      <c r="J170" s="5">
        <f>IF(A170="","",SUM(G170:I170))</f>
        <v/>
      </c>
      <c r="K170" s="5">
        <f>IF(A170="","",IF(IFERROR(XLOOKUP(A170,tblAccounts[Account_ID],tblAccounts[Include],FALSE),FALSE),SUMIFS(tblAcctSummary[Realized_GL_Base],tblAcctSummary[Account_ID],A170),0))</f>
        <v/>
      </c>
      <c r="L170" s="5">
        <f>IF(A170="","",IF(IFERROR(XLOOKUP(A170,tblAccounts[Account_ID],tblAccounts[Include],FALSE),FALSE),SUMIFS(tblAcctSummary[Fees_Base],tblAcctSummary[Account_ID],A170),0))</f>
        <v/>
      </c>
      <c r="M170" s="5">
        <f>IF(A170="","",IF(IFERROR(XLOOKUP(A170,tblAccounts[Account_ID],tblAccounts[Include],FALSE),FALSE),SUMIFS(tblAcctSummary[Taxes_Base],tblAcctSummary[Account_ID],A170),0))</f>
        <v/>
      </c>
      <c r="N170" s="5">
        <f>IF(A170="","",IF(IFERROR(XLOOKUP(A170,tblAccounts[Account_ID],tblAccounts[Include],FALSE),FALSE),IFERROR(SUMPRODUCT(tblAcctSummary[Return_Period],tblAcctSummary[Begin_Balance_Base],--(tblAcctSummary[Account_ID]=A170))/IF(SUMIFS(tblAcctSummary[Begin_Balance_Base],tblAcctSummary[Account_ID],A170)=0,NA(),SUMIFS(tblAcctSummary[Begin_Balance_Base],tblAcctSummary[Account_ID],A170)),0),0))</f>
        <v/>
      </c>
    </row>
    <row r="171">
      <c r="A171" s="5">
        <f>IFERROR(INDEX(tblAccounts[Account_ID],168),"")</f>
        <v/>
      </c>
      <c r="B171" s="5">
        <f>IF(A171="","",IFERROR(XLOOKUP(A171,tblAccounts[Account_ID],tblAccounts[Account_Name],""),""))</f>
        <v/>
      </c>
      <c r="C171" s="5">
        <f>IF(A171="","",IFERROR(XLOOKUP(A171,tblAccounts[Account_ID],tblAccounts[Household_ID],""),""))</f>
        <v/>
      </c>
      <c r="D171" s="5">
        <f>IF(A171="","",IF(IFERROR(XLOOKUP(A171,tblAccounts[Account_ID],tblAccounts[Include],FALSE),FALSE),SUMIFS(tblAcctSummary[Begin_Balance_Base],tblAcctSummary[Account_ID],A171),0))</f>
        <v/>
      </c>
      <c r="E171" s="5">
        <f>IF(A171="","",IF(IFERROR(XLOOKUP(A171,tblAccounts[Account_ID],tblAccounts[Include],FALSE),FALSE),SUMIFS(tblAcctSummary[End_Balance_Base],tblAcctSummary[Account_ID],A171),0))</f>
        <v/>
      </c>
      <c r="F171" s="5">
        <f>IF(A171="","",IF(IFERROR(XLOOKUP(A171,tblAccounts[Account_ID],tblAccounts[Include],FALSE),FALSE),SUMIFS(tblAcctSummary[Net_Contrib_Base],tblAcctSummary[Account_ID],A171),0))</f>
        <v/>
      </c>
      <c r="G171" s="5">
        <f>IF(A171="","",IF(IFERROR(XLOOKUP(A171,tblAccounts[Account_ID],tblAccounts[Include],FALSE),FALSE),SUMIFS(tblAcctSummary[Income_Interest_Base],tblAcctSummary[Account_ID],A171),0))</f>
        <v/>
      </c>
      <c r="H171" s="5">
        <f>IF(A171="","",IF(IFERROR(XLOOKUP(A171,tblAccounts[Account_ID],tblAccounts[Include],FALSE),FALSE),SUMIFS(tblAcctSummary[Income_Dividends_Base],tblAcctSummary[Account_ID],A171),0))</f>
        <v/>
      </c>
      <c r="I171" s="5">
        <f>IF(A171="","",IF(IFERROR(XLOOKUP(A171,tblAccounts[Account_ID],tblAccounts[Include],FALSE),FALSE),SUMIFS(tblAcctSummary[Income_Other_Base],tblAcctSummary[Account_ID],A171),0))</f>
        <v/>
      </c>
      <c r="J171" s="5">
        <f>IF(A171="","",SUM(G171:I171))</f>
        <v/>
      </c>
      <c r="K171" s="5">
        <f>IF(A171="","",IF(IFERROR(XLOOKUP(A171,tblAccounts[Account_ID],tblAccounts[Include],FALSE),FALSE),SUMIFS(tblAcctSummary[Realized_GL_Base],tblAcctSummary[Account_ID],A171),0))</f>
        <v/>
      </c>
      <c r="L171" s="5">
        <f>IF(A171="","",IF(IFERROR(XLOOKUP(A171,tblAccounts[Account_ID],tblAccounts[Include],FALSE),FALSE),SUMIFS(tblAcctSummary[Fees_Base],tblAcctSummary[Account_ID],A171),0))</f>
        <v/>
      </c>
      <c r="M171" s="5">
        <f>IF(A171="","",IF(IFERROR(XLOOKUP(A171,tblAccounts[Account_ID],tblAccounts[Include],FALSE),FALSE),SUMIFS(tblAcctSummary[Taxes_Base],tblAcctSummary[Account_ID],A171),0))</f>
        <v/>
      </c>
      <c r="N171" s="5">
        <f>IF(A171="","",IF(IFERROR(XLOOKUP(A171,tblAccounts[Account_ID],tblAccounts[Include],FALSE),FALSE),IFERROR(SUMPRODUCT(tblAcctSummary[Return_Period],tblAcctSummary[Begin_Balance_Base],--(tblAcctSummary[Account_ID]=A171))/IF(SUMIFS(tblAcctSummary[Begin_Balance_Base],tblAcctSummary[Account_ID],A171)=0,NA(),SUMIFS(tblAcctSummary[Begin_Balance_Base],tblAcctSummary[Account_ID],A171)),0),0))</f>
        <v/>
      </c>
    </row>
    <row r="172">
      <c r="A172" s="5">
        <f>IFERROR(INDEX(tblAccounts[Account_ID],169),"")</f>
        <v/>
      </c>
      <c r="B172" s="5">
        <f>IF(A172="","",IFERROR(XLOOKUP(A172,tblAccounts[Account_ID],tblAccounts[Account_Name],""),""))</f>
        <v/>
      </c>
      <c r="C172" s="5">
        <f>IF(A172="","",IFERROR(XLOOKUP(A172,tblAccounts[Account_ID],tblAccounts[Household_ID],""),""))</f>
        <v/>
      </c>
      <c r="D172" s="5">
        <f>IF(A172="","",IF(IFERROR(XLOOKUP(A172,tblAccounts[Account_ID],tblAccounts[Include],FALSE),FALSE),SUMIFS(tblAcctSummary[Begin_Balance_Base],tblAcctSummary[Account_ID],A172),0))</f>
        <v/>
      </c>
      <c r="E172" s="5">
        <f>IF(A172="","",IF(IFERROR(XLOOKUP(A172,tblAccounts[Account_ID],tblAccounts[Include],FALSE),FALSE),SUMIFS(tblAcctSummary[End_Balance_Base],tblAcctSummary[Account_ID],A172),0))</f>
        <v/>
      </c>
      <c r="F172" s="5">
        <f>IF(A172="","",IF(IFERROR(XLOOKUP(A172,tblAccounts[Account_ID],tblAccounts[Include],FALSE),FALSE),SUMIFS(tblAcctSummary[Net_Contrib_Base],tblAcctSummary[Account_ID],A172),0))</f>
        <v/>
      </c>
      <c r="G172" s="5">
        <f>IF(A172="","",IF(IFERROR(XLOOKUP(A172,tblAccounts[Account_ID],tblAccounts[Include],FALSE),FALSE),SUMIFS(tblAcctSummary[Income_Interest_Base],tblAcctSummary[Account_ID],A172),0))</f>
        <v/>
      </c>
      <c r="H172" s="5">
        <f>IF(A172="","",IF(IFERROR(XLOOKUP(A172,tblAccounts[Account_ID],tblAccounts[Include],FALSE),FALSE),SUMIFS(tblAcctSummary[Income_Dividends_Base],tblAcctSummary[Account_ID],A172),0))</f>
        <v/>
      </c>
      <c r="I172" s="5">
        <f>IF(A172="","",IF(IFERROR(XLOOKUP(A172,tblAccounts[Account_ID],tblAccounts[Include],FALSE),FALSE),SUMIFS(tblAcctSummary[Income_Other_Base],tblAcctSummary[Account_ID],A172),0))</f>
        <v/>
      </c>
      <c r="J172" s="5">
        <f>IF(A172="","",SUM(G172:I172))</f>
        <v/>
      </c>
      <c r="K172" s="5">
        <f>IF(A172="","",IF(IFERROR(XLOOKUP(A172,tblAccounts[Account_ID],tblAccounts[Include],FALSE),FALSE),SUMIFS(tblAcctSummary[Realized_GL_Base],tblAcctSummary[Account_ID],A172),0))</f>
        <v/>
      </c>
      <c r="L172" s="5">
        <f>IF(A172="","",IF(IFERROR(XLOOKUP(A172,tblAccounts[Account_ID],tblAccounts[Include],FALSE),FALSE),SUMIFS(tblAcctSummary[Fees_Base],tblAcctSummary[Account_ID],A172),0))</f>
        <v/>
      </c>
      <c r="M172" s="5">
        <f>IF(A172="","",IF(IFERROR(XLOOKUP(A172,tblAccounts[Account_ID],tblAccounts[Include],FALSE),FALSE),SUMIFS(tblAcctSummary[Taxes_Base],tblAcctSummary[Account_ID],A172),0))</f>
        <v/>
      </c>
      <c r="N172" s="5">
        <f>IF(A172="","",IF(IFERROR(XLOOKUP(A172,tblAccounts[Account_ID],tblAccounts[Include],FALSE),FALSE),IFERROR(SUMPRODUCT(tblAcctSummary[Return_Period],tblAcctSummary[Begin_Balance_Base],--(tblAcctSummary[Account_ID]=A172))/IF(SUMIFS(tblAcctSummary[Begin_Balance_Base],tblAcctSummary[Account_ID],A172)=0,NA(),SUMIFS(tblAcctSummary[Begin_Balance_Base],tblAcctSummary[Account_ID],A172)),0),0))</f>
        <v/>
      </c>
    </row>
    <row r="173">
      <c r="A173" s="5">
        <f>IFERROR(INDEX(tblAccounts[Account_ID],170),"")</f>
        <v/>
      </c>
      <c r="B173" s="5">
        <f>IF(A173="","",IFERROR(XLOOKUP(A173,tblAccounts[Account_ID],tblAccounts[Account_Name],""),""))</f>
        <v/>
      </c>
      <c r="C173" s="5">
        <f>IF(A173="","",IFERROR(XLOOKUP(A173,tblAccounts[Account_ID],tblAccounts[Household_ID],""),""))</f>
        <v/>
      </c>
      <c r="D173" s="5">
        <f>IF(A173="","",IF(IFERROR(XLOOKUP(A173,tblAccounts[Account_ID],tblAccounts[Include],FALSE),FALSE),SUMIFS(tblAcctSummary[Begin_Balance_Base],tblAcctSummary[Account_ID],A173),0))</f>
        <v/>
      </c>
      <c r="E173" s="5">
        <f>IF(A173="","",IF(IFERROR(XLOOKUP(A173,tblAccounts[Account_ID],tblAccounts[Include],FALSE),FALSE),SUMIFS(tblAcctSummary[End_Balance_Base],tblAcctSummary[Account_ID],A173),0))</f>
        <v/>
      </c>
      <c r="F173" s="5">
        <f>IF(A173="","",IF(IFERROR(XLOOKUP(A173,tblAccounts[Account_ID],tblAccounts[Include],FALSE),FALSE),SUMIFS(tblAcctSummary[Net_Contrib_Base],tblAcctSummary[Account_ID],A173),0))</f>
        <v/>
      </c>
      <c r="G173" s="5">
        <f>IF(A173="","",IF(IFERROR(XLOOKUP(A173,tblAccounts[Account_ID],tblAccounts[Include],FALSE),FALSE),SUMIFS(tblAcctSummary[Income_Interest_Base],tblAcctSummary[Account_ID],A173),0))</f>
        <v/>
      </c>
      <c r="H173" s="5">
        <f>IF(A173="","",IF(IFERROR(XLOOKUP(A173,tblAccounts[Account_ID],tblAccounts[Include],FALSE),FALSE),SUMIFS(tblAcctSummary[Income_Dividends_Base],tblAcctSummary[Account_ID],A173),0))</f>
        <v/>
      </c>
      <c r="I173" s="5">
        <f>IF(A173="","",IF(IFERROR(XLOOKUP(A173,tblAccounts[Account_ID],tblAccounts[Include],FALSE),FALSE),SUMIFS(tblAcctSummary[Income_Other_Base],tblAcctSummary[Account_ID],A173),0))</f>
        <v/>
      </c>
      <c r="J173" s="5">
        <f>IF(A173="","",SUM(G173:I173))</f>
        <v/>
      </c>
      <c r="K173" s="5">
        <f>IF(A173="","",IF(IFERROR(XLOOKUP(A173,tblAccounts[Account_ID],tblAccounts[Include],FALSE),FALSE),SUMIFS(tblAcctSummary[Realized_GL_Base],tblAcctSummary[Account_ID],A173),0))</f>
        <v/>
      </c>
      <c r="L173" s="5">
        <f>IF(A173="","",IF(IFERROR(XLOOKUP(A173,tblAccounts[Account_ID],tblAccounts[Include],FALSE),FALSE),SUMIFS(tblAcctSummary[Fees_Base],tblAcctSummary[Account_ID],A173),0))</f>
        <v/>
      </c>
      <c r="M173" s="5">
        <f>IF(A173="","",IF(IFERROR(XLOOKUP(A173,tblAccounts[Account_ID],tblAccounts[Include],FALSE),FALSE),SUMIFS(tblAcctSummary[Taxes_Base],tblAcctSummary[Account_ID],A173),0))</f>
        <v/>
      </c>
      <c r="N173" s="5">
        <f>IF(A173="","",IF(IFERROR(XLOOKUP(A173,tblAccounts[Account_ID],tblAccounts[Include],FALSE),FALSE),IFERROR(SUMPRODUCT(tblAcctSummary[Return_Period],tblAcctSummary[Begin_Balance_Base],--(tblAcctSummary[Account_ID]=A173))/IF(SUMIFS(tblAcctSummary[Begin_Balance_Base],tblAcctSummary[Account_ID],A173)=0,NA(),SUMIFS(tblAcctSummary[Begin_Balance_Base],tblAcctSummary[Account_ID],A173)),0),0))</f>
        <v/>
      </c>
    </row>
    <row r="174">
      <c r="A174" s="5">
        <f>IFERROR(INDEX(tblAccounts[Account_ID],171),"")</f>
        <v/>
      </c>
      <c r="B174" s="5">
        <f>IF(A174="","",IFERROR(XLOOKUP(A174,tblAccounts[Account_ID],tblAccounts[Account_Name],""),""))</f>
        <v/>
      </c>
      <c r="C174" s="5">
        <f>IF(A174="","",IFERROR(XLOOKUP(A174,tblAccounts[Account_ID],tblAccounts[Household_ID],""),""))</f>
        <v/>
      </c>
      <c r="D174" s="5">
        <f>IF(A174="","",IF(IFERROR(XLOOKUP(A174,tblAccounts[Account_ID],tblAccounts[Include],FALSE),FALSE),SUMIFS(tblAcctSummary[Begin_Balance_Base],tblAcctSummary[Account_ID],A174),0))</f>
        <v/>
      </c>
      <c r="E174" s="5">
        <f>IF(A174="","",IF(IFERROR(XLOOKUP(A174,tblAccounts[Account_ID],tblAccounts[Include],FALSE),FALSE),SUMIFS(tblAcctSummary[End_Balance_Base],tblAcctSummary[Account_ID],A174),0))</f>
        <v/>
      </c>
      <c r="F174" s="5">
        <f>IF(A174="","",IF(IFERROR(XLOOKUP(A174,tblAccounts[Account_ID],tblAccounts[Include],FALSE),FALSE),SUMIFS(tblAcctSummary[Net_Contrib_Base],tblAcctSummary[Account_ID],A174),0))</f>
        <v/>
      </c>
      <c r="G174" s="5">
        <f>IF(A174="","",IF(IFERROR(XLOOKUP(A174,tblAccounts[Account_ID],tblAccounts[Include],FALSE),FALSE),SUMIFS(tblAcctSummary[Income_Interest_Base],tblAcctSummary[Account_ID],A174),0))</f>
        <v/>
      </c>
      <c r="H174" s="5">
        <f>IF(A174="","",IF(IFERROR(XLOOKUP(A174,tblAccounts[Account_ID],tblAccounts[Include],FALSE),FALSE),SUMIFS(tblAcctSummary[Income_Dividends_Base],tblAcctSummary[Account_ID],A174),0))</f>
        <v/>
      </c>
      <c r="I174" s="5">
        <f>IF(A174="","",IF(IFERROR(XLOOKUP(A174,tblAccounts[Account_ID],tblAccounts[Include],FALSE),FALSE),SUMIFS(tblAcctSummary[Income_Other_Base],tblAcctSummary[Account_ID],A174),0))</f>
        <v/>
      </c>
      <c r="J174" s="5">
        <f>IF(A174="","",SUM(G174:I174))</f>
        <v/>
      </c>
      <c r="K174" s="5">
        <f>IF(A174="","",IF(IFERROR(XLOOKUP(A174,tblAccounts[Account_ID],tblAccounts[Include],FALSE),FALSE),SUMIFS(tblAcctSummary[Realized_GL_Base],tblAcctSummary[Account_ID],A174),0))</f>
        <v/>
      </c>
      <c r="L174" s="5">
        <f>IF(A174="","",IF(IFERROR(XLOOKUP(A174,tblAccounts[Account_ID],tblAccounts[Include],FALSE),FALSE),SUMIFS(tblAcctSummary[Fees_Base],tblAcctSummary[Account_ID],A174),0))</f>
        <v/>
      </c>
      <c r="M174" s="5">
        <f>IF(A174="","",IF(IFERROR(XLOOKUP(A174,tblAccounts[Account_ID],tblAccounts[Include],FALSE),FALSE),SUMIFS(tblAcctSummary[Taxes_Base],tblAcctSummary[Account_ID],A174),0))</f>
        <v/>
      </c>
      <c r="N174" s="5">
        <f>IF(A174="","",IF(IFERROR(XLOOKUP(A174,tblAccounts[Account_ID],tblAccounts[Include],FALSE),FALSE),IFERROR(SUMPRODUCT(tblAcctSummary[Return_Period],tblAcctSummary[Begin_Balance_Base],--(tblAcctSummary[Account_ID]=A174))/IF(SUMIFS(tblAcctSummary[Begin_Balance_Base],tblAcctSummary[Account_ID],A174)=0,NA(),SUMIFS(tblAcctSummary[Begin_Balance_Base],tblAcctSummary[Account_ID],A174)),0),0))</f>
        <v/>
      </c>
    </row>
    <row r="175">
      <c r="A175" s="5">
        <f>IFERROR(INDEX(tblAccounts[Account_ID],172),"")</f>
        <v/>
      </c>
      <c r="B175" s="5">
        <f>IF(A175="","",IFERROR(XLOOKUP(A175,tblAccounts[Account_ID],tblAccounts[Account_Name],""),""))</f>
        <v/>
      </c>
      <c r="C175" s="5">
        <f>IF(A175="","",IFERROR(XLOOKUP(A175,tblAccounts[Account_ID],tblAccounts[Household_ID],""),""))</f>
        <v/>
      </c>
      <c r="D175" s="5">
        <f>IF(A175="","",IF(IFERROR(XLOOKUP(A175,tblAccounts[Account_ID],tblAccounts[Include],FALSE),FALSE),SUMIFS(tblAcctSummary[Begin_Balance_Base],tblAcctSummary[Account_ID],A175),0))</f>
        <v/>
      </c>
      <c r="E175" s="5">
        <f>IF(A175="","",IF(IFERROR(XLOOKUP(A175,tblAccounts[Account_ID],tblAccounts[Include],FALSE),FALSE),SUMIFS(tblAcctSummary[End_Balance_Base],tblAcctSummary[Account_ID],A175),0))</f>
        <v/>
      </c>
      <c r="F175" s="5">
        <f>IF(A175="","",IF(IFERROR(XLOOKUP(A175,tblAccounts[Account_ID],tblAccounts[Include],FALSE),FALSE),SUMIFS(tblAcctSummary[Net_Contrib_Base],tblAcctSummary[Account_ID],A175),0))</f>
        <v/>
      </c>
      <c r="G175" s="5">
        <f>IF(A175="","",IF(IFERROR(XLOOKUP(A175,tblAccounts[Account_ID],tblAccounts[Include],FALSE),FALSE),SUMIFS(tblAcctSummary[Income_Interest_Base],tblAcctSummary[Account_ID],A175),0))</f>
        <v/>
      </c>
      <c r="H175" s="5">
        <f>IF(A175="","",IF(IFERROR(XLOOKUP(A175,tblAccounts[Account_ID],tblAccounts[Include],FALSE),FALSE),SUMIFS(tblAcctSummary[Income_Dividends_Base],tblAcctSummary[Account_ID],A175),0))</f>
        <v/>
      </c>
      <c r="I175" s="5">
        <f>IF(A175="","",IF(IFERROR(XLOOKUP(A175,tblAccounts[Account_ID],tblAccounts[Include],FALSE),FALSE),SUMIFS(tblAcctSummary[Income_Other_Base],tblAcctSummary[Account_ID],A175),0))</f>
        <v/>
      </c>
      <c r="J175" s="5">
        <f>IF(A175="","",SUM(G175:I175))</f>
        <v/>
      </c>
      <c r="K175" s="5">
        <f>IF(A175="","",IF(IFERROR(XLOOKUP(A175,tblAccounts[Account_ID],tblAccounts[Include],FALSE),FALSE),SUMIFS(tblAcctSummary[Realized_GL_Base],tblAcctSummary[Account_ID],A175),0))</f>
        <v/>
      </c>
      <c r="L175" s="5">
        <f>IF(A175="","",IF(IFERROR(XLOOKUP(A175,tblAccounts[Account_ID],tblAccounts[Include],FALSE),FALSE),SUMIFS(tblAcctSummary[Fees_Base],tblAcctSummary[Account_ID],A175),0))</f>
        <v/>
      </c>
      <c r="M175" s="5">
        <f>IF(A175="","",IF(IFERROR(XLOOKUP(A175,tblAccounts[Account_ID],tblAccounts[Include],FALSE),FALSE),SUMIFS(tblAcctSummary[Taxes_Base],tblAcctSummary[Account_ID],A175),0))</f>
        <v/>
      </c>
      <c r="N175" s="5">
        <f>IF(A175="","",IF(IFERROR(XLOOKUP(A175,tblAccounts[Account_ID],tblAccounts[Include],FALSE),FALSE),IFERROR(SUMPRODUCT(tblAcctSummary[Return_Period],tblAcctSummary[Begin_Balance_Base],--(tblAcctSummary[Account_ID]=A175))/IF(SUMIFS(tblAcctSummary[Begin_Balance_Base],tblAcctSummary[Account_ID],A175)=0,NA(),SUMIFS(tblAcctSummary[Begin_Balance_Base],tblAcctSummary[Account_ID],A175)),0),0))</f>
        <v/>
      </c>
    </row>
    <row r="176">
      <c r="A176" s="5">
        <f>IFERROR(INDEX(tblAccounts[Account_ID],173),"")</f>
        <v/>
      </c>
      <c r="B176" s="5">
        <f>IF(A176="","",IFERROR(XLOOKUP(A176,tblAccounts[Account_ID],tblAccounts[Account_Name],""),""))</f>
        <v/>
      </c>
      <c r="C176" s="5">
        <f>IF(A176="","",IFERROR(XLOOKUP(A176,tblAccounts[Account_ID],tblAccounts[Household_ID],""),""))</f>
        <v/>
      </c>
      <c r="D176" s="5">
        <f>IF(A176="","",IF(IFERROR(XLOOKUP(A176,tblAccounts[Account_ID],tblAccounts[Include],FALSE),FALSE),SUMIFS(tblAcctSummary[Begin_Balance_Base],tblAcctSummary[Account_ID],A176),0))</f>
        <v/>
      </c>
      <c r="E176" s="5">
        <f>IF(A176="","",IF(IFERROR(XLOOKUP(A176,tblAccounts[Account_ID],tblAccounts[Include],FALSE),FALSE),SUMIFS(tblAcctSummary[End_Balance_Base],tblAcctSummary[Account_ID],A176),0))</f>
        <v/>
      </c>
      <c r="F176" s="5">
        <f>IF(A176="","",IF(IFERROR(XLOOKUP(A176,tblAccounts[Account_ID],tblAccounts[Include],FALSE),FALSE),SUMIFS(tblAcctSummary[Net_Contrib_Base],tblAcctSummary[Account_ID],A176),0))</f>
        <v/>
      </c>
      <c r="G176" s="5">
        <f>IF(A176="","",IF(IFERROR(XLOOKUP(A176,tblAccounts[Account_ID],tblAccounts[Include],FALSE),FALSE),SUMIFS(tblAcctSummary[Income_Interest_Base],tblAcctSummary[Account_ID],A176),0))</f>
        <v/>
      </c>
      <c r="H176" s="5">
        <f>IF(A176="","",IF(IFERROR(XLOOKUP(A176,tblAccounts[Account_ID],tblAccounts[Include],FALSE),FALSE),SUMIFS(tblAcctSummary[Income_Dividends_Base],tblAcctSummary[Account_ID],A176),0))</f>
        <v/>
      </c>
      <c r="I176" s="5">
        <f>IF(A176="","",IF(IFERROR(XLOOKUP(A176,tblAccounts[Account_ID],tblAccounts[Include],FALSE),FALSE),SUMIFS(tblAcctSummary[Income_Other_Base],tblAcctSummary[Account_ID],A176),0))</f>
        <v/>
      </c>
      <c r="J176" s="5">
        <f>IF(A176="","",SUM(G176:I176))</f>
        <v/>
      </c>
      <c r="K176" s="5">
        <f>IF(A176="","",IF(IFERROR(XLOOKUP(A176,tblAccounts[Account_ID],tblAccounts[Include],FALSE),FALSE),SUMIFS(tblAcctSummary[Realized_GL_Base],tblAcctSummary[Account_ID],A176),0))</f>
        <v/>
      </c>
      <c r="L176" s="5">
        <f>IF(A176="","",IF(IFERROR(XLOOKUP(A176,tblAccounts[Account_ID],tblAccounts[Include],FALSE),FALSE),SUMIFS(tblAcctSummary[Fees_Base],tblAcctSummary[Account_ID],A176),0))</f>
        <v/>
      </c>
      <c r="M176" s="5">
        <f>IF(A176="","",IF(IFERROR(XLOOKUP(A176,tblAccounts[Account_ID],tblAccounts[Include],FALSE),FALSE),SUMIFS(tblAcctSummary[Taxes_Base],tblAcctSummary[Account_ID],A176),0))</f>
        <v/>
      </c>
      <c r="N176" s="5">
        <f>IF(A176="","",IF(IFERROR(XLOOKUP(A176,tblAccounts[Account_ID],tblAccounts[Include],FALSE),FALSE),IFERROR(SUMPRODUCT(tblAcctSummary[Return_Period],tblAcctSummary[Begin_Balance_Base],--(tblAcctSummary[Account_ID]=A176))/IF(SUMIFS(tblAcctSummary[Begin_Balance_Base],tblAcctSummary[Account_ID],A176)=0,NA(),SUMIFS(tblAcctSummary[Begin_Balance_Base],tblAcctSummary[Account_ID],A176)),0),0))</f>
        <v/>
      </c>
    </row>
    <row r="177">
      <c r="A177" s="5">
        <f>IFERROR(INDEX(tblAccounts[Account_ID],174),"")</f>
        <v/>
      </c>
      <c r="B177" s="5">
        <f>IF(A177="","",IFERROR(XLOOKUP(A177,tblAccounts[Account_ID],tblAccounts[Account_Name],""),""))</f>
        <v/>
      </c>
      <c r="C177" s="5">
        <f>IF(A177="","",IFERROR(XLOOKUP(A177,tblAccounts[Account_ID],tblAccounts[Household_ID],""),""))</f>
        <v/>
      </c>
      <c r="D177" s="5">
        <f>IF(A177="","",IF(IFERROR(XLOOKUP(A177,tblAccounts[Account_ID],tblAccounts[Include],FALSE),FALSE),SUMIFS(tblAcctSummary[Begin_Balance_Base],tblAcctSummary[Account_ID],A177),0))</f>
        <v/>
      </c>
      <c r="E177" s="5">
        <f>IF(A177="","",IF(IFERROR(XLOOKUP(A177,tblAccounts[Account_ID],tblAccounts[Include],FALSE),FALSE),SUMIFS(tblAcctSummary[End_Balance_Base],tblAcctSummary[Account_ID],A177),0))</f>
        <v/>
      </c>
      <c r="F177" s="5">
        <f>IF(A177="","",IF(IFERROR(XLOOKUP(A177,tblAccounts[Account_ID],tblAccounts[Include],FALSE),FALSE),SUMIFS(tblAcctSummary[Net_Contrib_Base],tblAcctSummary[Account_ID],A177),0))</f>
        <v/>
      </c>
      <c r="G177" s="5">
        <f>IF(A177="","",IF(IFERROR(XLOOKUP(A177,tblAccounts[Account_ID],tblAccounts[Include],FALSE),FALSE),SUMIFS(tblAcctSummary[Income_Interest_Base],tblAcctSummary[Account_ID],A177),0))</f>
        <v/>
      </c>
      <c r="H177" s="5">
        <f>IF(A177="","",IF(IFERROR(XLOOKUP(A177,tblAccounts[Account_ID],tblAccounts[Include],FALSE),FALSE),SUMIFS(tblAcctSummary[Income_Dividends_Base],tblAcctSummary[Account_ID],A177),0))</f>
        <v/>
      </c>
      <c r="I177" s="5">
        <f>IF(A177="","",IF(IFERROR(XLOOKUP(A177,tblAccounts[Account_ID],tblAccounts[Include],FALSE),FALSE),SUMIFS(tblAcctSummary[Income_Other_Base],tblAcctSummary[Account_ID],A177),0))</f>
        <v/>
      </c>
      <c r="J177" s="5">
        <f>IF(A177="","",SUM(G177:I177))</f>
        <v/>
      </c>
      <c r="K177" s="5">
        <f>IF(A177="","",IF(IFERROR(XLOOKUP(A177,tblAccounts[Account_ID],tblAccounts[Include],FALSE),FALSE),SUMIFS(tblAcctSummary[Realized_GL_Base],tblAcctSummary[Account_ID],A177),0))</f>
        <v/>
      </c>
      <c r="L177" s="5">
        <f>IF(A177="","",IF(IFERROR(XLOOKUP(A177,tblAccounts[Account_ID],tblAccounts[Include],FALSE),FALSE),SUMIFS(tblAcctSummary[Fees_Base],tblAcctSummary[Account_ID],A177),0))</f>
        <v/>
      </c>
      <c r="M177" s="5">
        <f>IF(A177="","",IF(IFERROR(XLOOKUP(A177,tblAccounts[Account_ID],tblAccounts[Include],FALSE),FALSE),SUMIFS(tblAcctSummary[Taxes_Base],tblAcctSummary[Account_ID],A177),0))</f>
        <v/>
      </c>
      <c r="N177" s="5">
        <f>IF(A177="","",IF(IFERROR(XLOOKUP(A177,tblAccounts[Account_ID],tblAccounts[Include],FALSE),FALSE),IFERROR(SUMPRODUCT(tblAcctSummary[Return_Period],tblAcctSummary[Begin_Balance_Base],--(tblAcctSummary[Account_ID]=A177))/IF(SUMIFS(tblAcctSummary[Begin_Balance_Base],tblAcctSummary[Account_ID],A177)=0,NA(),SUMIFS(tblAcctSummary[Begin_Balance_Base],tblAcctSummary[Account_ID],A177)),0),0))</f>
        <v/>
      </c>
    </row>
    <row r="178">
      <c r="A178" s="5">
        <f>IFERROR(INDEX(tblAccounts[Account_ID],175),"")</f>
        <v/>
      </c>
      <c r="B178" s="5">
        <f>IF(A178="","",IFERROR(XLOOKUP(A178,tblAccounts[Account_ID],tblAccounts[Account_Name],""),""))</f>
        <v/>
      </c>
      <c r="C178" s="5">
        <f>IF(A178="","",IFERROR(XLOOKUP(A178,tblAccounts[Account_ID],tblAccounts[Household_ID],""),""))</f>
        <v/>
      </c>
      <c r="D178" s="5">
        <f>IF(A178="","",IF(IFERROR(XLOOKUP(A178,tblAccounts[Account_ID],tblAccounts[Include],FALSE),FALSE),SUMIFS(tblAcctSummary[Begin_Balance_Base],tblAcctSummary[Account_ID],A178),0))</f>
        <v/>
      </c>
      <c r="E178" s="5">
        <f>IF(A178="","",IF(IFERROR(XLOOKUP(A178,tblAccounts[Account_ID],tblAccounts[Include],FALSE),FALSE),SUMIFS(tblAcctSummary[End_Balance_Base],tblAcctSummary[Account_ID],A178),0))</f>
        <v/>
      </c>
      <c r="F178" s="5">
        <f>IF(A178="","",IF(IFERROR(XLOOKUP(A178,tblAccounts[Account_ID],tblAccounts[Include],FALSE),FALSE),SUMIFS(tblAcctSummary[Net_Contrib_Base],tblAcctSummary[Account_ID],A178),0))</f>
        <v/>
      </c>
      <c r="G178" s="5">
        <f>IF(A178="","",IF(IFERROR(XLOOKUP(A178,tblAccounts[Account_ID],tblAccounts[Include],FALSE),FALSE),SUMIFS(tblAcctSummary[Income_Interest_Base],tblAcctSummary[Account_ID],A178),0))</f>
        <v/>
      </c>
      <c r="H178" s="5">
        <f>IF(A178="","",IF(IFERROR(XLOOKUP(A178,tblAccounts[Account_ID],tblAccounts[Include],FALSE),FALSE),SUMIFS(tblAcctSummary[Income_Dividends_Base],tblAcctSummary[Account_ID],A178),0))</f>
        <v/>
      </c>
      <c r="I178" s="5">
        <f>IF(A178="","",IF(IFERROR(XLOOKUP(A178,tblAccounts[Account_ID],tblAccounts[Include],FALSE),FALSE),SUMIFS(tblAcctSummary[Income_Other_Base],tblAcctSummary[Account_ID],A178),0))</f>
        <v/>
      </c>
      <c r="J178" s="5">
        <f>IF(A178="","",SUM(G178:I178))</f>
        <v/>
      </c>
      <c r="K178" s="5">
        <f>IF(A178="","",IF(IFERROR(XLOOKUP(A178,tblAccounts[Account_ID],tblAccounts[Include],FALSE),FALSE),SUMIFS(tblAcctSummary[Realized_GL_Base],tblAcctSummary[Account_ID],A178),0))</f>
        <v/>
      </c>
      <c r="L178" s="5">
        <f>IF(A178="","",IF(IFERROR(XLOOKUP(A178,tblAccounts[Account_ID],tblAccounts[Include],FALSE),FALSE),SUMIFS(tblAcctSummary[Fees_Base],tblAcctSummary[Account_ID],A178),0))</f>
        <v/>
      </c>
      <c r="M178" s="5">
        <f>IF(A178="","",IF(IFERROR(XLOOKUP(A178,tblAccounts[Account_ID],tblAccounts[Include],FALSE),FALSE),SUMIFS(tblAcctSummary[Taxes_Base],tblAcctSummary[Account_ID],A178),0))</f>
        <v/>
      </c>
      <c r="N178" s="5">
        <f>IF(A178="","",IF(IFERROR(XLOOKUP(A178,tblAccounts[Account_ID],tblAccounts[Include],FALSE),FALSE),IFERROR(SUMPRODUCT(tblAcctSummary[Return_Period],tblAcctSummary[Begin_Balance_Base],--(tblAcctSummary[Account_ID]=A178))/IF(SUMIFS(tblAcctSummary[Begin_Balance_Base],tblAcctSummary[Account_ID],A178)=0,NA(),SUMIFS(tblAcctSummary[Begin_Balance_Base],tblAcctSummary[Account_ID],A178)),0),0))</f>
        <v/>
      </c>
    </row>
    <row r="179">
      <c r="A179" s="5">
        <f>IFERROR(INDEX(tblAccounts[Account_ID],176),"")</f>
        <v/>
      </c>
      <c r="B179" s="5">
        <f>IF(A179="","",IFERROR(XLOOKUP(A179,tblAccounts[Account_ID],tblAccounts[Account_Name],""),""))</f>
        <v/>
      </c>
      <c r="C179" s="5">
        <f>IF(A179="","",IFERROR(XLOOKUP(A179,tblAccounts[Account_ID],tblAccounts[Household_ID],""),""))</f>
        <v/>
      </c>
      <c r="D179" s="5">
        <f>IF(A179="","",IF(IFERROR(XLOOKUP(A179,tblAccounts[Account_ID],tblAccounts[Include],FALSE),FALSE),SUMIFS(tblAcctSummary[Begin_Balance_Base],tblAcctSummary[Account_ID],A179),0))</f>
        <v/>
      </c>
      <c r="E179" s="5">
        <f>IF(A179="","",IF(IFERROR(XLOOKUP(A179,tblAccounts[Account_ID],tblAccounts[Include],FALSE),FALSE),SUMIFS(tblAcctSummary[End_Balance_Base],tblAcctSummary[Account_ID],A179),0))</f>
        <v/>
      </c>
      <c r="F179" s="5">
        <f>IF(A179="","",IF(IFERROR(XLOOKUP(A179,tblAccounts[Account_ID],tblAccounts[Include],FALSE),FALSE),SUMIFS(tblAcctSummary[Net_Contrib_Base],tblAcctSummary[Account_ID],A179),0))</f>
        <v/>
      </c>
      <c r="G179" s="5">
        <f>IF(A179="","",IF(IFERROR(XLOOKUP(A179,tblAccounts[Account_ID],tblAccounts[Include],FALSE),FALSE),SUMIFS(tblAcctSummary[Income_Interest_Base],tblAcctSummary[Account_ID],A179),0))</f>
        <v/>
      </c>
      <c r="H179" s="5">
        <f>IF(A179="","",IF(IFERROR(XLOOKUP(A179,tblAccounts[Account_ID],tblAccounts[Include],FALSE),FALSE),SUMIFS(tblAcctSummary[Income_Dividends_Base],tblAcctSummary[Account_ID],A179),0))</f>
        <v/>
      </c>
      <c r="I179" s="5">
        <f>IF(A179="","",IF(IFERROR(XLOOKUP(A179,tblAccounts[Account_ID],tblAccounts[Include],FALSE),FALSE),SUMIFS(tblAcctSummary[Income_Other_Base],tblAcctSummary[Account_ID],A179),0))</f>
        <v/>
      </c>
      <c r="J179" s="5">
        <f>IF(A179="","",SUM(G179:I179))</f>
        <v/>
      </c>
      <c r="K179" s="5">
        <f>IF(A179="","",IF(IFERROR(XLOOKUP(A179,tblAccounts[Account_ID],tblAccounts[Include],FALSE),FALSE),SUMIFS(tblAcctSummary[Realized_GL_Base],tblAcctSummary[Account_ID],A179),0))</f>
        <v/>
      </c>
      <c r="L179" s="5">
        <f>IF(A179="","",IF(IFERROR(XLOOKUP(A179,tblAccounts[Account_ID],tblAccounts[Include],FALSE),FALSE),SUMIFS(tblAcctSummary[Fees_Base],tblAcctSummary[Account_ID],A179),0))</f>
        <v/>
      </c>
      <c r="M179" s="5">
        <f>IF(A179="","",IF(IFERROR(XLOOKUP(A179,tblAccounts[Account_ID],tblAccounts[Include],FALSE),FALSE),SUMIFS(tblAcctSummary[Taxes_Base],tblAcctSummary[Account_ID],A179),0))</f>
        <v/>
      </c>
      <c r="N179" s="5">
        <f>IF(A179="","",IF(IFERROR(XLOOKUP(A179,tblAccounts[Account_ID],tblAccounts[Include],FALSE),FALSE),IFERROR(SUMPRODUCT(tblAcctSummary[Return_Period],tblAcctSummary[Begin_Balance_Base],--(tblAcctSummary[Account_ID]=A179))/IF(SUMIFS(tblAcctSummary[Begin_Balance_Base],tblAcctSummary[Account_ID],A179)=0,NA(),SUMIFS(tblAcctSummary[Begin_Balance_Base],tblAcctSummary[Account_ID],A179)),0),0))</f>
        <v/>
      </c>
    </row>
    <row r="180">
      <c r="A180" s="5">
        <f>IFERROR(INDEX(tblAccounts[Account_ID],177),"")</f>
        <v/>
      </c>
      <c r="B180" s="5">
        <f>IF(A180="","",IFERROR(XLOOKUP(A180,tblAccounts[Account_ID],tblAccounts[Account_Name],""),""))</f>
        <v/>
      </c>
      <c r="C180" s="5">
        <f>IF(A180="","",IFERROR(XLOOKUP(A180,tblAccounts[Account_ID],tblAccounts[Household_ID],""),""))</f>
        <v/>
      </c>
      <c r="D180" s="5">
        <f>IF(A180="","",IF(IFERROR(XLOOKUP(A180,tblAccounts[Account_ID],tblAccounts[Include],FALSE),FALSE),SUMIFS(tblAcctSummary[Begin_Balance_Base],tblAcctSummary[Account_ID],A180),0))</f>
        <v/>
      </c>
      <c r="E180" s="5">
        <f>IF(A180="","",IF(IFERROR(XLOOKUP(A180,tblAccounts[Account_ID],tblAccounts[Include],FALSE),FALSE),SUMIFS(tblAcctSummary[End_Balance_Base],tblAcctSummary[Account_ID],A180),0))</f>
        <v/>
      </c>
      <c r="F180" s="5">
        <f>IF(A180="","",IF(IFERROR(XLOOKUP(A180,tblAccounts[Account_ID],tblAccounts[Include],FALSE),FALSE),SUMIFS(tblAcctSummary[Net_Contrib_Base],tblAcctSummary[Account_ID],A180),0))</f>
        <v/>
      </c>
      <c r="G180" s="5">
        <f>IF(A180="","",IF(IFERROR(XLOOKUP(A180,tblAccounts[Account_ID],tblAccounts[Include],FALSE),FALSE),SUMIFS(tblAcctSummary[Income_Interest_Base],tblAcctSummary[Account_ID],A180),0))</f>
        <v/>
      </c>
      <c r="H180" s="5">
        <f>IF(A180="","",IF(IFERROR(XLOOKUP(A180,tblAccounts[Account_ID],tblAccounts[Include],FALSE),FALSE),SUMIFS(tblAcctSummary[Income_Dividends_Base],tblAcctSummary[Account_ID],A180),0))</f>
        <v/>
      </c>
      <c r="I180" s="5">
        <f>IF(A180="","",IF(IFERROR(XLOOKUP(A180,tblAccounts[Account_ID],tblAccounts[Include],FALSE),FALSE),SUMIFS(tblAcctSummary[Income_Other_Base],tblAcctSummary[Account_ID],A180),0))</f>
        <v/>
      </c>
      <c r="J180" s="5">
        <f>IF(A180="","",SUM(G180:I180))</f>
        <v/>
      </c>
      <c r="K180" s="5">
        <f>IF(A180="","",IF(IFERROR(XLOOKUP(A180,tblAccounts[Account_ID],tblAccounts[Include],FALSE),FALSE),SUMIFS(tblAcctSummary[Realized_GL_Base],tblAcctSummary[Account_ID],A180),0))</f>
        <v/>
      </c>
      <c r="L180" s="5">
        <f>IF(A180="","",IF(IFERROR(XLOOKUP(A180,tblAccounts[Account_ID],tblAccounts[Include],FALSE),FALSE),SUMIFS(tblAcctSummary[Fees_Base],tblAcctSummary[Account_ID],A180),0))</f>
        <v/>
      </c>
      <c r="M180" s="5">
        <f>IF(A180="","",IF(IFERROR(XLOOKUP(A180,tblAccounts[Account_ID],tblAccounts[Include],FALSE),FALSE),SUMIFS(tblAcctSummary[Taxes_Base],tblAcctSummary[Account_ID],A180),0))</f>
        <v/>
      </c>
      <c r="N180" s="5">
        <f>IF(A180="","",IF(IFERROR(XLOOKUP(A180,tblAccounts[Account_ID],tblAccounts[Include],FALSE),FALSE),IFERROR(SUMPRODUCT(tblAcctSummary[Return_Period],tblAcctSummary[Begin_Balance_Base],--(tblAcctSummary[Account_ID]=A180))/IF(SUMIFS(tblAcctSummary[Begin_Balance_Base],tblAcctSummary[Account_ID],A180)=0,NA(),SUMIFS(tblAcctSummary[Begin_Balance_Base],tblAcctSummary[Account_ID],A180)),0),0))</f>
        <v/>
      </c>
    </row>
    <row r="181">
      <c r="A181" s="5">
        <f>IFERROR(INDEX(tblAccounts[Account_ID],178),"")</f>
        <v/>
      </c>
      <c r="B181" s="5">
        <f>IF(A181="","",IFERROR(XLOOKUP(A181,tblAccounts[Account_ID],tblAccounts[Account_Name],""),""))</f>
        <v/>
      </c>
      <c r="C181" s="5">
        <f>IF(A181="","",IFERROR(XLOOKUP(A181,tblAccounts[Account_ID],tblAccounts[Household_ID],""),""))</f>
        <v/>
      </c>
      <c r="D181" s="5">
        <f>IF(A181="","",IF(IFERROR(XLOOKUP(A181,tblAccounts[Account_ID],tblAccounts[Include],FALSE),FALSE),SUMIFS(tblAcctSummary[Begin_Balance_Base],tblAcctSummary[Account_ID],A181),0))</f>
        <v/>
      </c>
      <c r="E181" s="5">
        <f>IF(A181="","",IF(IFERROR(XLOOKUP(A181,tblAccounts[Account_ID],tblAccounts[Include],FALSE),FALSE),SUMIFS(tblAcctSummary[End_Balance_Base],tblAcctSummary[Account_ID],A181),0))</f>
        <v/>
      </c>
      <c r="F181" s="5">
        <f>IF(A181="","",IF(IFERROR(XLOOKUP(A181,tblAccounts[Account_ID],tblAccounts[Include],FALSE),FALSE),SUMIFS(tblAcctSummary[Net_Contrib_Base],tblAcctSummary[Account_ID],A181),0))</f>
        <v/>
      </c>
      <c r="G181" s="5">
        <f>IF(A181="","",IF(IFERROR(XLOOKUP(A181,tblAccounts[Account_ID],tblAccounts[Include],FALSE),FALSE),SUMIFS(tblAcctSummary[Income_Interest_Base],tblAcctSummary[Account_ID],A181),0))</f>
        <v/>
      </c>
      <c r="H181" s="5">
        <f>IF(A181="","",IF(IFERROR(XLOOKUP(A181,tblAccounts[Account_ID],tblAccounts[Include],FALSE),FALSE),SUMIFS(tblAcctSummary[Income_Dividends_Base],tblAcctSummary[Account_ID],A181),0))</f>
        <v/>
      </c>
      <c r="I181" s="5">
        <f>IF(A181="","",IF(IFERROR(XLOOKUP(A181,tblAccounts[Account_ID],tblAccounts[Include],FALSE),FALSE),SUMIFS(tblAcctSummary[Income_Other_Base],tblAcctSummary[Account_ID],A181),0))</f>
        <v/>
      </c>
      <c r="J181" s="5">
        <f>IF(A181="","",SUM(G181:I181))</f>
        <v/>
      </c>
      <c r="K181" s="5">
        <f>IF(A181="","",IF(IFERROR(XLOOKUP(A181,tblAccounts[Account_ID],tblAccounts[Include],FALSE),FALSE),SUMIFS(tblAcctSummary[Realized_GL_Base],tblAcctSummary[Account_ID],A181),0))</f>
        <v/>
      </c>
      <c r="L181" s="5">
        <f>IF(A181="","",IF(IFERROR(XLOOKUP(A181,tblAccounts[Account_ID],tblAccounts[Include],FALSE),FALSE),SUMIFS(tblAcctSummary[Fees_Base],tblAcctSummary[Account_ID],A181),0))</f>
        <v/>
      </c>
      <c r="M181" s="5">
        <f>IF(A181="","",IF(IFERROR(XLOOKUP(A181,tblAccounts[Account_ID],tblAccounts[Include],FALSE),FALSE),SUMIFS(tblAcctSummary[Taxes_Base],tblAcctSummary[Account_ID],A181),0))</f>
        <v/>
      </c>
      <c r="N181" s="5">
        <f>IF(A181="","",IF(IFERROR(XLOOKUP(A181,tblAccounts[Account_ID],tblAccounts[Include],FALSE),FALSE),IFERROR(SUMPRODUCT(tblAcctSummary[Return_Period],tblAcctSummary[Begin_Balance_Base],--(tblAcctSummary[Account_ID]=A181))/IF(SUMIFS(tblAcctSummary[Begin_Balance_Base],tblAcctSummary[Account_ID],A181)=0,NA(),SUMIFS(tblAcctSummary[Begin_Balance_Base],tblAcctSummary[Account_ID],A181)),0),0))</f>
        <v/>
      </c>
    </row>
    <row r="182">
      <c r="A182" s="5">
        <f>IFERROR(INDEX(tblAccounts[Account_ID],179),"")</f>
        <v/>
      </c>
      <c r="B182" s="5">
        <f>IF(A182="","",IFERROR(XLOOKUP(A182,tblAccounts[Account_ID],tblAccounts[Account_Name],""),""))</f>
        <v/>
      </c>
      <c r="C182" s="5">
        <f>IF(A182="","",IFERROR(XLOOKUP(A182,tblAccounts[Account_ID],tblAccounts[Household_ID],""),""))</f>
        <v/>
      </c>
      <c r="D182" s="5">
        <f>IF(A182="","",IF(IFERROR(XLOOKUP(A182,tblAccounts[Account_ID],tblAccounts[Include],FALSE),FALSE),SUMIFS(tblAcctSummary[Begin_Balance_Base],tblAcctSummary[Account_ID],A182),0))</f>
        <v/>
      </c>
      <c r="E182" s="5">
        <f>IF(A182="","",IF(IFERROR(XLOOKUP(A182,tblAccounts[Account_ID],tblAccounts[Include],FALSE),FALSE),SUMIFS(tblAcctSummary[End_Balance_Base],tblAcctSummary[Account_ID],A182),0))</f>
        <v/>
      </c>
      <c r="F182" s="5">
        <f>IF(A182="","",IF(IFERROR(XLOOKUP(A182,tblAccounts[Account_ID],tblAccounts[Include],FALSE),FALSE),SUMIFS(tblAcctSummary[Net_Contrib_Base],tblAcctSummary[Account_ID],A182),0))</f>
        <v/>
      </c>
      <c r="G182" s="5">
        <f>IF(A182="","",IF(IFERROR(XLOOKUP(A182,tblAccounts[Account_ID],tblAccounts[Include],FALSE),FALSE),SUMIFS(tblAcctSummary[Income_Interest_Base],tblAcctSummary[Account_ID],A182),0))</f>
        <v/>
      </c>
      <c r="H182" s="5">
        <f>IF(A182="","",IF(IFERROR(XLOOKUP(A182,tblAccounts[Account_ID],tblAccounts[Include],FALSE),FALSE),SUMIFS(tblAcctSummary[Income_Dividends_Base],tblAcctSummary[Account_ID],A182),0))</f>
        <v/>
      </c>
      <c r="I182" s="5">
        <f>IF(A182="","",IF(IFERROR(XLOOKUP(A182,tblAccounts[Account_ID],tblAccounts[Include],FALSE),FALSE),SUMIFS(tblAcctSummary[Income_Other_Base],tblAcctSummary[Account_ID],A182),0))</f>
        <v/>
      </c>
      <c r="J182" s="5">
        <f>IF(A182="","",SUM(G182:I182))</f>
        <v/>
      </c>
      <c r="K182" s="5">
        <f>IF(A182="","",IF(IFERROR(XLOOKUP(A182,tblAccounts[Account_ID],tblAccounts[Include],FALSE),FALSE),SUMIFS(tblAcctSummary[Realized_GL_Base],tblAcctSummary[Account_ID],A182),0))</f>
        <v/>
      </c>
      <c r="L182" s="5">
        <f>IF(A182="","",IF(IFERROR(XLOOKUP(A182,tblAccounts[Account_ID],tblAccounts[Include],FALSE),FALSE),SUMIFS(tblAcctSummary[Fees_Base],tblAcctSummary[Account_ID],A182),0))</f>
        <v/>
      </c>
      <c r="M182" s="5">
        <f>IF(A182="","",IF(IFERROR(XLOOKUP(A182,tblAccounts[Account_ID],tblAccounts[Include],FALSE),FALSE),SUMIFS(tblAcctSummary[Taxes_Base],tblAcctSummary[Account_ID],A182),0))</f>
        <v/>
      </c>
      <c r="N182" s="5">
        <f>IF(A182="","",IF(IFERROR(XLOOKUP(A182,tblAccounts[Account_ID],tblAccounts[Include],FALSE),FALSE),IFERROR(SUMPRODUCT(tblAcctSummary[Return_Period],tblAcctSummary[Begin_Balance_Base],--(tblAcctSummary[Account_ID]=A182))/IF(SUMIFS(tblAcctSummary[Begin_Balance_Base],tblAcctSummary[Account_ID],A182)=0,NA(),SUMIFS(tblAcctSummary[Begin_Balance_Base],tblAcctSummary[Account_ID],A182)),0),0))</f>
        <v/>
      </c>
    </row>
    <row r="183">
      <c r="A183" s="5">
        <f>IFERROR(INDEX(tblAccounts[Account_ID],180),"")</f>
        <v/>
      </c>
      <c r="B183" s="5">
        <f>IF(A183="","",IFERROR(XLOOKUP(A183,tblAccounts[Account_ID],tblAccounts[Account_Name],""),""))</f>
        <v/>
      </c>
      <c r="C183" s="5">
        <f>IF(A183="","",IFERROR(XLOOKUP(A183,tblAccounts[Account_ID],tblAccounts[Household_ID],""),""))</f>
        <v/>
      </c>
      <c r="D183" s="5">
        <f>IF(A183="","",IF(IFERROR(XLOOKUP(A183,tblAccounts[Account_ID],tblAccounts[Include],FALSE),FALSE),SUMIFS(tblAcctSummary[Begin_Balance_Base],tblAcctSummary[Account_ID],A183),0))</f>
        <v/>
      </c>
      <c r="E183" s="5">
        <f>IF(A183="","",IF(IFERROR(XLOOKUP(A183,tblAccounts[Account_ID],tblAccounts[Include],FALSE),FALSE),SUMIFS(tblAcctSummary[End_Balance_Base],tblAcctSummary[Account_ID],A183),0))</f>
        <v/>
      </c>
      <c r="F183" s="5">
        <f>IF(A183="","",IF(IFERROR(XLOOKUP(A183,tblAccounts[Account_ID],tblAccounts[Include],FALSE),FALSE),SUMIFS(tblAcctSummary[Net_Contrib_Base],tblAcctSummary[Account_ID],A183),0))</f>
        <v/>
      </c>
      <c r="G183" s="5">
        <f>IF(A183="","",IF(IFERROR(XLOOKUP(A183,tblAccounts[Account_ID],tblAccounts[Include],FALSE),FALSE),SUMIFS(tblAcctSummary[Income_Interest_Base],tblAcctSummary[Account_ID],A183),0))</f>
        <v/>
      </c>
      <c r="H183" s="5">
        <f>IF(A183="","",IF(IFERROR(XLOOKUP(A183,tblAccounts[Account_ID],tblAccounts[Include],FALSE),FALSE),SUMIFS(tblAcctSummary[Income_Dividends_Base],tblAcctSummary[Account_ID],A183),0))</f>
        <v/>
      </c>
      <c r="I183" s="5">
        <f>IF(A183="","",IF(IFERROR(XLOOKUP(A183,tblAccounts[Account_ID],tblAccounts[Include],FALSE),FALSE),SUMIFS(tblAcctSummary[Income_Other_Base],tblAcctSummary[Account_ID],A183),0))</f>
        <v/>
      </c>
      <c r="J183" s="5">
        <f>IF(A183="","",SUM(G183:I183))</f>
        <v/>
      </c>
      <c r="K183" s="5">
        <f>IF(A183="","",IF(IFERROR(XLOOKUP(A183,tblAccounts[Account_ID],tblAccounts[Include],FALSE),FALSE),SUMIFS(tblAcctSummary[Realized_GL_Base],tblAcctSummary[Account_ID],A183),0))</f>
        <v/>
      </c>
      <c r="L183" s="5">
        <f>IF(A183="","",IF(IFERROR(XLOOKUP(A183,tblAccounts[Account_ID],tblAccounts[Include],FALSE),FALSE),SUMIFS(tblAcctSummary[Fees_Base],tblAcctSummary[Account_ID],A183),0))</f>
        <v/>
      </c>
      <c r="M183" s="5">
        <f>IF(A183="","",IF(IFERROR(XLOOKUP(A183,tblAccounts[Account_ID],tblAccounts[Include],FALSE),FALSE),SUMIFS(tblAcctSummary[Taxes_Base],tblAcctSummary[Account_ID],A183),0))</f>
        <v/>
      </c>
      <c r="N183" s="5">
        <f>IF(A183="","",IF(IFERROR(XLOOKUP(A183,tblAccounts[Account_ID],tblAccounts[Include],FALSE),FALSE),IFERROR(SUMPRODUCT(tblAcctSummary[Return_Period],tblAcctSummary[Begin_Balance_Base],--(tblAcctSummary[Account_ID]=A183))/IF(SUMIFS(tblAcctSummary[Begin_Balance_Base],tblAcctSummary[Account_ID],A183)=0,NA(),SUMIFS(tblAcctSummary[Begin_Balance_Base],tblAcctSummary[Account_ID],A183)),0),0))</f>
        <v/>
      </c>
    </row>
    <row r="184">
      <c r="A184" s="5">
        <f>IFERROR(INDEX(tblAccounts[Account_ID],181),"")</f>
        <v/>
      </c>
      <c r="B184" s="5">
        <f>IF(A184="","",IFERROR(XLOOKUP(A184,tblAccounts[Account_ID],tblAccounts[Account_Name],""),""))</f>
        <v/>
      </c>
      <c r="C184" s="5">
        <f>IF(A184="","",IFERROR(XLOOKUP(A184,tblAccounts[Account_ID],tblAccounts[Household_ID],""),""))</f>
        <v/>
      </c>
      <c r="D184" s="5">
        <f>IF(A184="","",IF(IFERROR(XLOOKUP(A184,tblAccounts[Account_ID],tblAccounts[Include],FALSE),FALSE),SUMIFS(tblAcctSummary[Begin_Balance_Base],tblAcctSummary[Account_ID],A184),0))</f>
        <v/>
      </c>
      <c r="E184" s="5">
        <f>IF(A184="","",IF(IFERROR(XLOOKUP(A184,tblAccounts[Account_ID],tblAccounts[Include],FALSE),FALSE),SUMIFS(tblAcctSummary[End_Balance_Base],tblAcctSummary[Account_ID],A184),0))</f>
        <v/>
      </c>
      <c r="F184" s="5">
        <f>IF(A184="","",IF(IFERROR(XLOOKUP(A184,tblAccounts[Account_ID],tblAccounts[Include],FALSE),FALSE),SUMIFS(tblAcctSummary[Net_Contrib_Base],tblAcctSummary[Account_ID],A184),0))</f>
        <v/>
      </c>
      <c r="G184" s="5">
        <f>IF(A184="","",IF(IFERROR(XLOOKUP(A184,tblAccounts[Account_ID],tblAccounts[Include],FALSE),FALSE),SUMIFS(tblAcctSummary[Income_Interest_Base],tblAcctSummary[Account_ID],A184),0))</f>
        <v/>
      </c>
      <c r="H184" s="5">
        <f>IF(A184="","",IF(IFERROR(XLOOKUP(A184,tblAccounts[Account_ID],tblAccounts[Include],FALSE),FALSE),SUMIFS(tblAcctSummary[Income_Dividends_Base],tblAcctSummary[Account_ID],A184),0))</f>
        <v/>
      </c>
      <c r="I184" s="5">
        <f>IF(A184="","",IF(IFERROR(XLOOKUP(A184,tblAccounts[Account_ID],tblAccounts[Include],FALSE),FALSE),SUMIFS(tblAcctSummary[Income_Other_Base],tblAcctSummary[Account_ID],A184),0))</f>
        <v/>
      </c>
      <c r="J184" s="5">
        <f>IF(A184="","",SUM(G184:I184))</f>
        <v/>
      </c>
      <c r="K184" s="5">
        <f>IF(A184="","",IF(IFERROR(XLOOKUP(A184,tblAccounts[Account_ID],tblAccounts[Include],FALSE),FALSE),SUMIFS(tblAcctSummary[Realized_GL_Base],tblAcctSummary[Account_ID],A184),0))</f>
        <v/>
      </c>
      <c r="L184" s="5">
        <f>IF(A184="","",IF(IFERROR(XLOOKUP(A184,tblAccounts[Account_ID],tblAccounts[Include],FALSE),FALSE),SUMIFS(tblAcctSummary[Fees_Base],tblAcctSummary[Account_ID],A184),0))</f>
        <v/>
      </c>
      <c r="M184" s="5">
        <f>IF(A184="","",IF(IFERROR(XLOOKUP(A184,tblAccounts[Account_ID],tblAccounts[Include],FALSE),FALSE),SUMIFS(tblAcctSummary[Taxes_Base],tblAcctSummary[Account_ID],A184),0))</f>
        <v/>
      </c>
      <c r="N184" s="5">
        <f>IF(A184="","",IF(IFERROR(XLOOKUP(A184,tblAccounts[Account_ID],tblAccounts[Include],FALSE),FALSE),IFERROR(SUMPRODUCT(tblAcctSummary[Return_Period],tblAcctSummary[Begin_Balance_Base],--(tblAcctSummary[Account_ID]=A184))/IF(SUMIFS(tblAcctSummary[Begin_Balance_Base],tblAcctSummary[Account_ID],A184)=0,NA(),SUMIFS(tblAcctSummary[Begin_Balance_Base],tblAcctSummary[Account_ID],A184)),0),0))</f>
        <v/>
      </c>
    </row>
    <row r="185">
      <c r="A185" s="5">
        <f>IFERROR(INDEX(tblAccounts[Account_ID],182),"")</f>
        <v/>
      </c>
      <c r="B185" s="5">
        <f>IF(A185="","",IFERROR(XLOOKUP(A185,tblAccounts[Account_ID],tblAccounts[Account_Name],""),""))</f>
        <v/>
      </c>
      <c r="C185" s="5">
        <f>IF(A185="","",IFERROR(XLOOKUP(A185,tblAccounts[Account_ID],tblAccounts[Household_ID],""),""))</f>
        <v/>
      </c>
      <c r="D185" s="5">
        <f>IF(A185="","",IF(IFERROR(XLOOKUP(A185,tblAccounts[Account_ID],tblAccounts[Include],FALSE),FALSE),SUMIFS(tblAcctSummary[Begin_Balance_Base],tblAcctSummary[Account_ID],A185),0))</f>
        <v/>
      </c>
      <c r="E185" s="5">
        <f>IF(A185="","",IF(IFERROR(XLOOKUP(A185,tblAccounts[Account_ID],tblAccounts[Include],FALSE),FALSE),SUMIFS(tblAcctSummary[End_Balance_Base],tblAcctSummary[Account_ID],A185),0))</f>
        <v/>
      </c>
      <c r="F185" s="5">
        <f>IF(A185="","",IF(IFERROR(XLOOKUP(A185,tblAccounts[Account_ID],tblAccounts[Include],FALSE),FALSE),SUMIFS(tblAcctSummary[Net_Contrib_Base],tblAcctSummary[Account_ID],A185),0))</f>
        <v/>
      </c>
      <c r="G185" s="5">
        <f>IF(A185="","",IF(IFERROR(XLOOKUP(A185,tblAccounts[Account_ID],tblAccounts[Include],FALSE),FALSE),SUMIFS(tblAcctSummary[Income_Interest_Base],tblAcctSummary[Account_ID],A185),0))</f>
        <v/>
      </c>
      <c r="H185" s="5">
        <f>IF(A185="","",IF(IFERROR(XLOOKUP(A185,tblAccounts[Account_ID],tblAccounts[Include],FALSE),FALSE),SUMIFS(tblAcctSummary[Income_Dividends_Base],tblAcctSummary[Account_ID],A185),0))</f>
        <v/>
      </c>
      <c r="I185" s="5">
        <f>IF(A185="","",IF(IFERROR(XLOOKUP(A185,tblAccounts[Account_ID],tblAccounts[Include],FALSE),FALSE),SUMIFS(tblAcctSummary[Income_Other_Base],tblAcctSummary[Account_ID],A185),0))</f>
        <v/>
      </c>
      <c r="J185" s="5">
        <f>IF(A185="","",SUM(G185:I185))</f>
        <v/>
      </c>
      <c r="K185" s="5">
        <f>IF(A185="","",IF(IFERROR(XLOOKUP(A185,tblAccounts[Account_ID],tblAccounts[Include],FALSE),FALSE),SUMIFS(tblAcctSummary[Realized_GL_Base],tblAcctSummary[Account_ID],A185),0))</f>
        <v/>
      </c>
      <c r="L185" s="5">
        <f>IF(A185="","",IF(IFERROR(XLOOKUP(A185,tblAccounts[Account_ID],tblAccounts[Include],FALSE),FALSE),SUMIFS(tblAcctSummary[Fees_Base],tblAcctSummary[Account_ID],A185),0))</f>
        <v/>
      </c>
      <c r="M185" s="5">
        <f>IF(A185="","",IF(IFERROR(XLOOKUP(A185,tblAccounts[Account_ID],tblAccounts[Include],FALSE),FALSE),SUMIFS(tblAcctSummary[Taxes_Base],tblAcctSummary[Account_ID],A185),0))</f>
        <v/>
      </c>
      <c r="N185" s="5">
        <f>IF(A185="","",IF(IFERROR(XLOOKUP(A185,tblAccounts[Account_ID],tblAccounts[Include],FALSE),FALSE),IFERROR(SUMPRODUCT(tblAcctSummary[Return_Period],tblAcctSummary[Begin_Balance_Base],--(tblAcctSummary[Account_ID]=A185))/IF(SUMIFS(tblAcctSummary[Begin_Balance_Base],tblAcctSummary[Account_ID],A185)=0,NA(),SUMIFS(tblAcctSummary[Begin_Balance_Base],tblAcctSummary[Account_ID],A185)),0),0))</f>
        <v/>
      </c>
    </row>
    <row r="186">
      <c r="A186" s="5">
        <f>IFERROR(INDEX(tblAccounts[Account_ID],183),"")</f>
        <v/>
      </c>
      <c r="B186" s="5">
        <f>IF(A186="","",IFERROR(XLOOKUP(A186,tblAccounts[Account_ID],tblAccounts[Account_Name],""),""))</f>
        <v/>
      </c>
      <c r="C186" s="5">
        <f>IF(A186="","",IFERROR(XLOOKUP(A186,tblAccounts[Account_ID],tblAccounts[Household_ID],""),""))</f>
        <v/>
      </c>
      <c r="D186" s="5">
        <f>IF(A186="","",IF(IFERROR(XLOOKUP(A186,tblAccounts[Account_ID],tblAccounts[Include],FALSE),FALSE),SUMIFS(tblAcctSummary[Begin_Balance_Base],tblAcctSummary[Account_ID],A186),0))</f>
        <v/>
      </c>
      <c r="E186" s="5">
        <f>IF(A186="","",IF(IFERROR(XLOOKUP(A186,tblAccounts[Account_ID],tblAccounts[Include],FALSE),FALSE),SUMIFS(tblAcctSummary[End_Balance_Base],tblAcctSummary[Account_ID],A186),0))</f>
        <v/>
      </c>
      <c r="F186" s="5">
        <f>IF(A186="","",IF(IFERROR(XLOOKUP(A186,tblAccounts[Account_ID],tblAccounts[Include],FALSE),FALSE),SUMIFS(tblAcctSummary[Net_Contrib_Base],tblAcctSummary[Account_ID],A186),0))</f>
        <v/>
      </c>
      <c r="G186" s="5">
        <f>IF(A186="","",IF(IFERROR(XLOOKUP(A186,tblAccounts[Account_ID],tblAccounts[Include],FALSE),FALSE),SUMIFS(tblAcctSummary[Income_Interest_Base],tblAcctSummary[Account_ID],A186),0))</f>
        <v/>
      </c>
      <c r="H186" s="5">
        <f>IF(A186="","",IF(IFERROR(XLOOKUP(A186,tblAccounts[Account_ID],tblAccounts[Include],FALSE),FALSE),SUMIFS(tblAcctSummary[Income_Dividends_Base],tblAcctSummary[Account_ID],A186),0))</f>
        <v/>
      </c>
      <c r="I186" s="5">
        <f>IF(A186="","",IF(IFERROR(XLOOKUP(A186,tblAccounts[Account_ID],tblAccounts[Include],FALSE),FALSE),SUMIFS(tblAcctSummary[Income_Other_Base],tblAcctSummary[Account_ID],A186),0))</f>
        <v/>
      </c>
      <c r="J186" s="5">
        <f>IF(A186="","",SUM(G186:I186))</f>
        <v/>
      </c>
      <c r="K186" s="5">
        <f>IF(A186="","",IF(IFERROR(XLOOKUP(A186,tblAccounts[Account_ID],tblAccounts[Include],FALSE),FALSE),SUMIFS(tblAcctSummary[Realized_GL_Base],tblAcctSummary[Account_ID],A186),0))</f>
        <v/>
      </c>
      <c r="L186" s="5">
        <f>IF(A186="","",IF(IFERROR(XLOOKUP(A186,tblAccounts[Account_ID],tblAccounts[Include],FALSE),FALSE),SUMIFS(tblAcctSummary[Fees_Base],tblAcctSummary[Account_ID],A186),0))</f>
        <v/>
      </c>
      <c r="M186" s="5">
        <f>IF(A186="","",IF(IFERROR(XLOOKUP(A186,tblAccounts[Account_ID],tblAccounts[Include],FALSE),FALSE),SUMIFS(tblAcctSummary[Taxes_Base],tblAcctSummary[Account_ID],A186),0))</f>
        <v/>
      </c>
      <c r="N186" s="5">
        <f>IF(A186="","",IF(IFERROR(XLOOKUP(A186,tblAccounts[Account_ID],tblAccounts[Include],FALSE),FALSE),IFERROR(SUMPRODUCT(tblAcctSummary[Return_Period],tblAcctSummary[Begin_Balance_Base],--(tblAcctSummary[Account_ID]=A186))/IF(SUMIFS(tblAcctSummary[Begin_Balance_Base],tblAcctSummary[Account_ID],A186)=0,NA(),SUMIFS(tblAcctSummary[Begin_Balance_Base],tblAcctSummary[Account_ID],A186)),0),0))</f>
        <v/>
      </c>
    </row>
    <row r="187">
      <c r="A187" s="5">
        <f>IFERROR(INDEX(tblAccounts[Account_ID],184),"")</f>
        <v/>
      </c>
      <c r="B187" s="5">
        <f>IF(A187="","",IFERROR(XLOOKUP(A187,tblAccounts[Account_ID],tblAccounts[Account_Name],""),""))</f>
        <v/>
      </c>
      <c r="C187" s="5">
        <f>IF(A187="","",IFERROR(XLOOKUP(A187,tblAccounts[Account_ID],tblAccounts[Household_ID],""),""))</f>
        <v/>
      </c>
      <c r="D187" s="5">
        <f>IF(A187="","",IF(IFERROR(XLOOKUP(A187,tblAccounts[Account_ID],tblAccounts[Include],FALSE),FALSE),SUMIFS(tblAcctSummary[Begin_Balance_Base],tblAcctSummary[Account_ID],A187),0))</f>
        <v/>
      </c>
      <c r="E187" s="5">
        <f>IF(A187="","",IF(IFERROR(XLOOKUP(A187,tblAccounts[Account_ID],tblAccounts[Include],FALSE),FALSE),SUMIFS(tblAcctSummary[End_Balance_Base],tblAcctSummary[Account_ID],A187),0))</f>
        <v/>
      </c>
      <c r="F187" s="5">
        <f>IF(A187="","",IF(IFERROR(XLOOKUP(A187,tblAccounts[Account_ID],tblAccounts[Include],FALSE),FALSE),SUMIFS(tblAcctSummary[Net_Contrib_Base],tblAcctSummary[Account_ID],A187),0))</f>
        <v/>
      </c>
      <c r="G187" s="5">
        <f>IF(A187="","",IF(IFERROR(XLOOKUP(A187,tblAccounts[Account_ID],tblAccounts[Include],FALSE),FALSE),SUMIFS(tblAcctSummary[Income_Interest_Base],tblAcctSummary[Account_ID],A187),0))</f>
        <v/>
      </c>
      <c r="H187" s="5">
        <f>IF(A187="","",IF(IFERROR(XLOOKUP(A187,tblAccounts[Account_ID],tblAccounts[Include],FALSE),FALSE),SUMIFS(tblAcctSummary[Income_Dividends_Base],tblAcctSummary[Account_ID],A187),0))</f>
        <v/>
      </c>
      <c r="I187" s="5">
        <f>IF(A187="","",IF(IFERROR(XLOOKUP(A187,tblAccounts[Account_ID],tblAccounts[Include],FALSE),FALSE),SUMIFS(tblAcctSummary[Income_Other_Base],tblAcctSummary[Account_ID],A187),0))</f>
        <v/>
      </c>
      <c r="J187" s="5">
        <f>IF(A187="","",SUM(G187:I187))</f>
        <v/>
      </c>
      <c r="K187" s="5">
        <f>IF(A187="","",IF(IFERROR(XLOOKUP(A187,tblAccounts[Account_ID],tblAccounts[Include],FALSE),FALSE),SUMIFS(tblAcctSummary[Realized_GL_Base],tblAcctSummary[Account_ID],A187),0))</f>
        <v/>
      </c>
      <c r="L187" s="5">
        <f>IF(A187="","",IF(IFERROR(XLOOKUP(A187,tblAccounts[Account_ID],tblAccounts[Include],FALSE),FALSE),SUMIFS(tblAcctSummary[Fees_Base],tblAcctSummary[Account_ID],A187),0))</f>
        <v/>
      </c>
      <c r="M187" s="5">
        <f>IF(A187="","",IF(IFERROR(XLOOKUP(A187,tblAccounts[Account_ID],tblAccounts[Include],FALSE),FALSE),SUMIFS(tblAcctSummary[Taxes_Base],tblAcctSummary[Account_ID],A187),0))</f>
        <v/>
      </c>
      <c r="N187" s="5">
        <f>IF(A187="","",IF(IFERROR(XLOOKUP(A187,tblAccounts[Account_ID],tblAccounts[Include],FALSE),FALSE),IFERROR(SUMPRODUCT(tblAcctSummary[Return_Period],tblAcctSummary[Begin_Balance_Base],--(tblAcctSummary[Account_ID]=A187))/IF(SUMIFS(tblAcctSummary[Begin_Balance_Base],tblAcctSummary[Account_ID],A187)=0,NA(),SUMIFS(tblAcctSummary[Begin_Balance_Base],tblAcctSummary[Account_ID],A187)),0),0))</f>
        <v/>
      </c>
    </row>
    <row r="188">
      <c r="A188" s="5">
        <f>IFERROR(INDEX(tblAccounts[Account_ID],185),"")</f>
        <v/>
      </c>
      <c r="B188" s="5">
        <f>IF(A188="","",IFERROR(XLOOKUP(A188,tblAccounts[Account_ID],tblAccounts[Account_Name],""),""))</f>
        <v/>
      </c>
      <c r="C188" s="5">
        <f>IF(A188="","",IFERROR(XLOOKUP(A188,tblAccounts[Account_ID],tblAccounts[Household_ID],""),""))</f>
        <v/>
      </c>
      <c r="D188" s="5">
        <f>IF(A188="","",IF(IFERROR(XLOOKUP(A188,tblAccounts[Account_ID],tblAccounts[Include],FALSE),FALSE),SUMIFS(tblAcctSummary[Begin_Balance_Base],tblAcctSummary[Account_ID],A188),0))</f>
        <v/>
      </c>
      <c r="E188" s="5">
        <f>IF(A188="","",IF(IFERROR(XLOOKUP(A188,tblAccounts[Account_ID],tblAccounts[Include],FALSE),FALSE),SUMIFS(tblAcctSummary[End_Balance_Base],tblAcctSummary[Account_ID],A188),0))</f>
        <v/>
      </c>
      <c r="F188" s="5">
        <f>IF(A188="","",IF(IFERROR(XLOOKUP(A188,tblAccounts[Account_ID],tblAccounts[Include],FALSE),FALSE),SUMIFS(tblAcctSummary[Net_Contrib_Base],tblAcctSummary[Account_ID],A188),0))</f>
        <v/>
      </c>
      <c r="G188" s="5">
        <f>IF(A188="","",IF(IFERROR(XLOOKUP(A188,tblAccounts[Account_ID],tblAccounts[Include],FALSE),FALSE),SUMIFS(tblAcctSummary[Income_Interest_Base],tblAcctSummary[Account_ID],A188),0))</f>
        <v/>
      </c>
      <c r="H188" s="5">
        <f>IF(A188="","",IF(IFERROR(XLOOKUP(A188,tblAccounts[Account_ID],tblAccounts[Include],FALSE),FALSE),SUMIFS(tblAcctSummary[Income_Dividends_Base],tblAcctSummary[Account_ID],A188),0))</f>
        <v/>
      </c>
      <c r="I188" s="5">
        <f>IF(A188="","",IF(IFERROR(XLOOKUP(A188,tblAccounts[Account_ID],tblAccounts[Include],FALSE),FALSE),SUMIFS(tblAcctSummary[Income_Other_Base],tblAcctSummary[Account_ID],A188),0))</f>
        <v/>
      </c>
      <c r="J188" s="5">
        <f>IF(A188="","",SUM(G188:I188))</f>
        <v/>
      </c>
      <c r="K188" s="5">
        <f>IF(A188="","",IF(IFERROR(XLOOKUP(A188,tblAccounts[Account_ID],tblAccounts[Include],FALSE),FALSE),SUMIFS(tblAcctSummary[Realized_GL_Base],tblAcctSummary[Account_ID],A188),0))</f>
        <v/>
      </c>
      <c r="L188" s="5">
        <f>IF(A188="","",IF(IFERROR(XLOOKUP(A188,tblAccounts[Account_ID],tblAccounts[Include],FALSE),FALSE),SUMIFS(tblAcctSummary[Fees_Base],tblAcctSummary[Account_ID],A188),0))</f>
        <v/>
      </c>
      <c r="M188" s="5">
        <f>IF(A188="","",IF(IFERROR(XLOOKUP(A188,tblAccounts[Account_ID],tblAccounts[Include],FALSE),FALSE),SUMIFS(tblAcctSummary[Taxes_Base],tblAcctSummary[Account_ID],A188),0))</f>
        <v/>
      </c>
      <c r="N188" s="5">
        <f>IF(A188="","",IF(IFERROR(XLOOKUP(A188,tblAccounts[Account_ID],tblAccounts[Include],FALSE),FALSE),IFERROR(SUMPRODUCT(tblAcctSummary[Return_Period],tblAcctSummary[Begin_Balance_Base],--(tblAcctSummary[Account_ID]=A188))/IF(SUMIFS(tblAcctSummary[Begin_Balance_Base],tblAcctSummary[Account_ID],A188)=0,NA(),SUMIFS(tblAcctSummary[Begin_Balance_Base],tblAcctSummary[Account_ID],A188)),0),0))</f>
        <v/>
      </c>
    </row>
    <row r="189">
      <c r="A189" s="5">
        <f>IFERROR(INDEX(tblAccounts[Account_ID],186),"")</f>
        <v/>
      </c>
      <c r="B189" s="5">
        <f>IF(A189="","",IFERROR(XLOOKUP(A189,tblAccounts[Account_ID],tblAccounts[Account_Name],""),""))</f>
        <v/>
      </c>
      <c r="C189" s="5">
        <f>IF(A189="","",IFERROR(XLOOKUP(A189,tblAccounts[Account_ID],tblAccounts[Household_ID],""),""))</f>
        <v/>
      </c>
      <c r="D189" s="5">
        <f>IF(A189="","",IF(IFERROR(XLOOKUP(A189,tblAccounts[Account_ID],tblAccounts[Include],FALSE),FALSE),SUMIFS(tblAcctSummary[Begin_Balance_Base],tblAcctSummary[Account_ID],A189),0))</f>
        <v/>
      </c>
      <c r="E189" s="5">
        <f>IF(A189="","",IF(IFERROR(XLOOKUP(A189,tblAccounts[Account_ID],tblAccounts[Include],FALSE),FALSE),SUMIFS(tblAcctSummary[End_Balance_Base],tblAcctSummary[Account_ID],A189),0))</f>
        <v/>
      </c>
      <c r="F189" s="5">
        <f>IF(A189="","",IF(IFERROR(XLOOKUP(A189,tblAccounts[Account_ID],tblAccounts[Include],FALSE),FALSE),SUMIFS(tblAcctSummary[Net_Contrib_Base],tblAcctSummary[Account_ID],A189),0))</f>
        <v/>
      </c>
      <c r="G189" s="5">
        <f>IF(A189="","",IF(IFERROR(XLOOKUP(A189,tblAccounts[Account_ID],tblAccounts[Include],FALSE),FALSE),SUMIFS(tblAcctSummary[Income_Interest_Base],tblAcctSummary[Account_ID],A189),0))</f>
        <v/>
      </c>
      <c r="H189" s="5">
        <f>IF(A189="","",IF(IFERROR(XLOOKUP(A189,tblAccounts[Account_ID],tblAccounts[Include],FALSE),FALSE),SUMIFS(tblAcctSummary[Income_Dividends_Base],tblAcctSummary[Account_ID],A189),0))</f>
        <v/>
      </c>
      <c r="I189" s="5">
        <f>IF(A189="","",IF(IFERROR(XLOOKUP(A189,tblAccounts[Account_ID],tblAccounts[Include],FALSE),FALSE),SUMIFS(tblAcctSummary[Income_Other_Base],tblAcctSummary[Account_ID],A189),0))</f>
        <v/>
      </c>
      <c r="J189" s="5">
        <f>IF(A189="","",SUM(G189:I189))</f>
        <v/>
      </c>
      <c r="K189" s="5">
        <f>IF(A189="","",IF(IFERROR(XLOOKUP(A189,tblAccounts[Account_ID],tblAccounts[Include],FALSE),FALSE),SUMIFS(tblAcctSummary[Realized_GL_Base],tblAcctSummary[Account_ID],A189),0))</f>
        <v/>
      </c>
      <c r="L189" s="5">
        <f>IF(A189="","",IF(IFERROR(XLOOKUP(A189,tblAccounts[Account_ID],tblAccounts[Include],FALSE),FALSE),SUMIFS(tblAcctSummary[Fees_Base],tblAcctSummary[Account_ID],A189),0))</f>
        <v/>
      </c>
      <c r="M189" s="5">
        <f>IF(A189="","",IF(IFERROR(XLOOKUP(A189,tblAccounts[Account_ID],tblAccounts[Include],FALSE),FALSE),SUMIFS(tblAcctSummary[Taxes_Base],tblAcctSummary[Account_ID],A189),0))</f>
        <v/>
      </c>
      <c r="N189" s="5">
        <f>IF(A189="","",IF(IFERROR(XLOOKUP(A189,tblAccounts[Account_ID],tblAccounts[Include],FALSE),FALSE),IFERROR(SUMPRODUCT(tblAcctSummary[Return_Period],tblAcctSummary[Begin_Balance_Base],--(tblAcctSummary[Account_ID]=A189))/IF(SUMIFS(tblAcctSummary[Begin_Balance_Base],tblAcctSummary[Account_ID],A189)=0,NA(),SUMIFS(tblAcctSummary[Begin_Balance_Base],tblAcctSummary[Account_ID],A189)),0),0))</f>
        <v/>
      </c>
    </row>
    <row r="190">
      <c r="A190" s="5">
        <f>IFERROR(INDEX(tblAccounts[Account_ID],187),"")</f>
        <v/>
      </c>
      <c r="B190" s="5">
        <f>IF(A190="","",IFERROR(XLOOKUP(A190,tblAccounts[Account_ID],tblAccounts[Account_Name],""),""))</f>
        <v/>
      </c>
      <c r="C190" s="5">
        <f>IF(A190="","",IFERROR(XLOOKUP(A190,tblAccounts[Account_ID],tblAccounts[Household_ID],""),""))</f>
        <v/>
      </c>
      <c r="D190" s="5">
        <f>IF(A190="","",IF(IFERROR(XLOOKUP(A190,tblAccounts[Account_ID],tblAccounts[Include],FALSE),FALSE),SUMIFS(tblAcctSummary[Begin_Balance_Base],tblAcctSummary[Account_ID],A190),0))</f>
        <v/>
      </c>
      <c r="E190" s="5">
        <f>IF(A190="","",IF(IFERROR(XLOOKUP(A190,tblAccounts[Account_ID],tblAccounts[Include],FALSE),FALSE),SUMIFS(tblAcctSummary[End_Balance_Base],tblAcctSummary[Account_ID],A190),0))</f>
        <v/>
      </c>
      <c r="F190" s="5">
        <f>IF(A190="","",IF(IFERROR(XLOOKUP(A190,tblAccounts[Account_ID],tblAccounts[Include],FALSE),FALSE),SUMIFS(tblAcctSummary[Net_Contrib_Base],tblAcctSummary[Account_ID],A190),0))</f>
        <v/>
      </c>
      <c r="G190" s="5">
        <f>IF(A190="","",IF(IFERROR(XLOOKUP(A190,tblAccounts[Account_ID],tblAccounts[Include],FALSE),FALSE),SUMIFS(tblAcctSummary[Income_Interest_Base],tblAcctSummary[Account_ID],A190),0))</f>
        <v/>
      </c>
      <c r="H190" s="5">
        <f>IF(A190="","",IF(IFERROR(XLOOKUP(A190,tblAccounts[Account_ID],tblAccounts[Include],FALSE),FALSE),SUMIFS(tblAcctSummary[Income_Dividends_Base],tblAcctSummary[Account_ID],A190),0))</f>
        <v/>
      </c>
      <c r="I190" s="5">
        <f>IF(A190="","",IF(IFERROR(XLOOKUP(A190,tblAccounts[Account_ID],tblAccounts[Include],FALSE),FALSE),SUMIFS(tblAcctSummary[Income_Other_Base],tblAcctSummary[Account_ID],A190),0))</f>
        <v/>
      </c>
      <c r="J190" s="5">
        <f>IF(A190="","",SUM(G190:I190))</f>
        <v/>
      </c>
      <c r="K190" s="5">
        <f>IF(A190="","",IF(IFERROR(XLOOKUP(A190,tblAccounts[Account_ID],tblAccounts[Include],FALSE),FALSE),SUMIFS(tblAcctSummary[Realized_GL_Base],tblAcctSummary[Account_ID],A190),0))</f>
        <v/>
      </c>
      <c r="L190" s="5">
        <f>IF(A190="","",IF(IFERROR(XLOOKUP(A190,tblAccounts[Account_ID],tblAccounts[Include],FALSE),FALSE),SUMIFS(tblAcctSummary[Fees_Base],tblAcctSummary[Account_ID],A190),0))</f>
        <v/>
      </c>
      <c r="M190" s="5">
        <f>IF(A190="","",IF(IFERROR(XLOOKUP(A190,tblAccounts[Account_ID],tblAccounts[Include],FALSE),FALSE),SUMIFS(tblAcctSummary[Taxes_Base],tblAcctSummary[Account_ID],A190),0))</f>
        <v/>
      </c>
      <c r="N190" s="5">
        <f>IF(A190="","",IF(IFERROR(XLOOKUP(A190,tblAccounts[Account_ID],tblAccounts[Include],FALSE),FALSE),IFERROR(SUMPRODUCT(tblAcctSummary[Return_Period],tblAcctSummary[Begin_Balance_Base],--(tblAcctSummary[Account_ID]=A190))/IF(SUMIFS(tblAcctSummary[Begin_Balance_Base],tblAcctSummary[Account_ID],A190)=0,NA(),SUMIFS(tblAcctSummary[Begin_Balance_Base],tblAcctSummary[Account_ID],A190)),0),0))</f>
        <v/>
      </c>
    </row>
    <row r="191">
      <c r="A191" s="5">
        <f>IFERROR(INDEX(tblAccounts[Account_ID],188),"")</f>
        <v/>
      </c>
      <c r="B191" s="5">
        <f>IF(A191="","",IFERROR(XLOOKUP(A191,tblAccounts[Account_ID],tblAccounts[Account_Name],""),""))</f>
        <v/>
      </c>
      <c r="C191" s="5">
        <f>IF(A191="","",IFERROR(XLOOKUP(A191,tblAccounts[Account_ID],tblAccounts[Household_ID],""),""))</f>
        <v/>
      </c>
      <c r="D191" s="5">
        <f>IF(A191="","",IF(IFERROR(XLOOKUP(A191,tblAccounts[Account_ID],tblAccounts[Include],FALSE),FALSE),SUMIFS(tblAcctSummary[Begin_Balance_Base],tblAcctSummary[Account_ID],A191),0))</f>
        <v/>
      </c>
      <c r="E191" s="5">
        <f>IF(A191="","",IF(IFERROR(XLOOKUP(A191,tblAccounts[Account_ID],tblAccounts[Include],FALSE),FALSE),SUMIFS(tblAcctSummary[End_Balance_Base],tblAcctSummary[Account_ID],A191),0))</f>
        <v/>
      </c>
      <c r="F191" s="5">
        <f>IF(A191="","",IF(IFERROR(XLOOKUP(A191,tblAccounts[Account_ID],tblAccounts[Include],FALSE),FALSE),SUMIFS(tblAcctSummary[Net_Contrib_Base],tblAcctSummary[Account_ID],A191),0))</f>
        <v/>
      </c>
      <c r="G191" s="5">
        <f>IF(A191="","",IF(IFERROR(XLOOKUP(A191,tblAccounts[Account_ID],tblAccounts[Include],FALSE),FALSE),SUMIFS(tblAcctSummary[Income_Interest_Base],tblAcctSummary[Account_ID],A191),0))</f>
        <v/>
      </c>
      <c r="H191" s="5">
        <f>IF(A191="","",IF(IFERROR(XLOOKUP(A191,tblAccounts[Account_ID],tblAccounts[Include],FALSE),FALSE),SUMIFS(tblAcctSummary[Income_Dividends_Base],tblAcctSummary[Account_ID],A191),0))</f>
        <v/>
      </c>
      <c r="I191" s="5">
        <f>IF(A191="","",IF(IFERROR(XLOOKUP(A191,tblAccounts[Account_ID],tblAccounts[Include],FALSE),FALSE),SUMIFS(tblAcctSummary[Income_Other_Base],tblAcctSummary[Account_ID],A191),0))</f>
        <v/>
      </c>
      <c r="J191" s="5">
        <f>IF(A191="","",SUM(G191:I191))</f>
        <v/>
      </c>
      <c r="K191" s="5">
        <f>IF(A191="","",IF(IFERROR(XLOOKUP(A191,tblAccounts[Account_ID],tblAccounts[Include],FALSE),FALSE),SUMIFS(tblAcctSummary[Realized_GL_Base],tblAcctSummary[Account_ID],A191),0))</f>
        <v/>
      </c>
      <c r="L191" s="5">
        <f>IF(A191="","",IF(IFERROR(XLOOKUP(A191,tblAccounts[Account_ID],tblAccounts[Include],FALSE),FALSE),SUMIFS(tblAcctSummary[Fees_Base],tblAcctSummary[Account_ID],A191),0))</f>
        <v/>
      </c>
      <c r="M191" s="5">
        <f>IF(A191="","",IF(IFERROR(XLOOKUP(A191,tblAccounts[Account_ID],tblAccounts[Include],FALSE),FALSE),SUMIFS(tblAcctSummary[Taxes_Base],tblAcctSummary[Account_ID],A191),0))</f>
        <v/>
      </c>
      <c r="N191" s="5">
        <f>IF(A191="","",IF(IFERROR(XLOOKUP(A191,tblAccounts[Account_ID],tblAccounts[Include],FALSE),FALSE),IFERROR(SUMPRODUCT(tblAcctSummary[Return_Period],tblAcctSummary[Begin_Balance_Base],--(tblAcctSummary[Account_ID]=A191))/IF(SUMIFS(tblAcctSummary[Begin_Balance_Base],tblAcctSummary[Account_ID],A191)=0,NA(),SUMIFS(tblAcctSummary[Begin_Balance_Base],tblAcctSummary[Account_ID],A191)),0),0))</f>
        <v/>
      </c>
    </row>
    <row r="192">
      <c r="A192" s="5">
        <f>IFERROR(INDEX(tblAccounts[Account_ID],189),"")</f>
        <v/>
      </c>
      <c r="B192" s="5">
        <f>IF(A192="","",IFERROR(XLOOKUP(A192,tblAccounts[Account_ID],tblAccounts[Account_Name],""),""))</f>
        <v/>
      </c>
      <c r="C192" s="5">
        <f>IF(A192="","",IFERROR(XLOOKUP(A192,tblAccounts[Account_ID],tblAccounts[Household_ID],""),""))</f>
        <v/>
      </c>
      <c r="D192" s="5">
        <f>IF(A192="","",IF(IFERROR(XLOOKUP(A192,tblAccounts[Account_ID],tblAccounts[Include],FALSE),FALSE),SUMIFS(tblAcctSummary[Begin_Balance_Base],tblAcctSummary[Account_ID],A192),0))</f>
        <v/>
      </c>
      <c r="E192" s="5">
        <f>IF(A192="","",IF(IFERROR(XLOOKUP(A192,tblAccounts[Account_ID],tblAccounts[Include],FALSE),FALSE),SUMIFS(tblAcctSummary[End_Balance_Base],tblAcctSummary[Account_ID],A192),0))</f>
        <v/>
      </c>
      <c r="F192" s="5">
        <f>IF(A192="","",IF(IFERROR(XLOOKUP(A192,tblAccounts[Account_ID],tblAccounts[Include],FALSE),FALSE),SUMIFS(tblAcctSummary[Net_Contrib_Base],tblAcctSummary[Account_ID],A192),0))</f>
        <v/>
      </c>
      <c r="G192" s="5">
        <f>IF(A192="","",IF(IFERROR(XLOOKUP(A192,tblAccounts[Account_ID],tblAccounts[Include],FALSE),FALSE),SUMIFS(tblAcctSummary[Income_Interest_Base],tblAcctSummary[Account_ID],A192),0))</f>
        <v/>
      </c>
      <c r="H192" s="5">
        <f>IF(A192="","",IF(IFERROR(XLOOKUP(A192,tblAccounts[Account_ID],tblAccounts[Include],FALSE),FALSE),SUMIFS(tblAcctSummary[Income_Dividends_Base],tblAcctSummary[Account_ID],A192),0))</f>
        <v/>
      </c>
      <c r="I192" s="5">
        <f>IF(A192="","",IF(IFERROR(XLOOKUP(A192,tblAccounts[Account_ID],tblAccounts[Include],FALSE),FALSE),SUMIFS(tblAcctSummary[Income_Other_Base],tblAcctSummary[Account_ID],A192),0))</f>
        <v/>
      </c>
      <c r="J192" s="5">
        <f>IF(A192="","",SUM(G192:I192))</f>
        <v/>
      </c>
      <c r="K192" s="5">
        <f>IF(A192="","",IF(IFERROR(XLOOKUP(A192,tblAccounts[Account_ID],tblAccounts[Include],FALSE),FALSE),SUMIFS(tblAcctSummary[Realized_GL_Base],tblAcctSummary[Account_ID],A192),0))</f>
        <v/>
      </c>
      <c r="L192" s="5">
        <f>IF(A192="","",IF(IFERROR(XLOOKUP(A192,tblAccounts[Account_ID],tblAccounts[Include],FALSE),FALSE),SUMIFS(tblAcctSummary[Fees_Base],tblAcctSummary[Account_ID],A192),0))</f>
        <v/>
      </c>
      <c r="M192" s="5">
        <f>IF(A192="","",IF(IFERROR(XLOOKUP(A192,tblAccounts[Account_ID],tblAccounts[Include],FALSE),FALSE),SUMIFS(tblAcctSummary[Taxes_Base],tblAcctSummary[Account_ID],A192),0))</f>
        <v/>
      </c>
      <c r="N192" s="5">
        <f>IF(A192="","",IF(IFERROR(XLOOKUP(A192,tblAccounts[Account_ID],tblAccounts[Include],FALSE),FALSE),IFERROR(SUMPRODUCT(tblAcctSummary[Return_Period],tblAcctSummary[Begin_Balance_Base],--(tblAcctSummary[Account_ID]=A192))/IF(SUMIFS(tblAcctSummary[Begin_Balance_Base],tblAcctSummary[Account_ID],A192)=0,NA(),SUMIFS(tblAcctSummary[Begin_Balance_Base],tblAcctSummary[Account_ID],A192)),0),0))</f>
        <v/>
      </c>
    </row>
    <row r="193">
      <c r="A193" s="5">
        <f>IFERROR(INDEX(tblAccounts[Account_ID],190),"")</f>
        <v/>
      </c>
      <c r="B193" s="5">
        <f>IF(A193="","",IFERROR(XLOOKUP(A193,tblAccounts[Account_ID],tblAccounts[Account_Name],""),""))</f>
        <v/>
      </c>
      <c r="C193" s="5">
        <f>IF(A193="","",IFERROR(XLOOKUP(A193,tblAccounts[Account_ID],tblAccounts[Household_ID],""),""))</f>
        <v/>
      </c>
      <c r="D193" s="5">
        <f>IF(A193="","",IF(IFERROR(XLOOKUP(A193,tblAccounts[Account_ID],tblAccounts[Include],FALSE),FALSE),SUMIFS(tblAcctSummary[Begin_Balance_Base],tblAcctSummary[Account_ID],A193),0))</f>
        <v/>
      </c>
      <c r="E193" s="5">
        <f>IF(A193="","",IF(IFERROR(XLOOKUP(A193,tblAccounts[Account_ID],tblAccounts[Include],FALSE),FALSE),SUMIFS(tblAcctSummary[End_Balance_Base],tblAcctSummary[Account_ID],A193),0))</f>
        <v/>
      </c>
      <c r="F193" s="5">
        <f>IF(A193="","",IF(IFERROR(XLOOKUP(A193,tblAccounts[Account_ID],tblAccounts[Include],FALSE),FALSE),SUMIFS(tblAcctSummary[Net_Contrib_Base],tblAcctSummary[Account_ID],A193),0))</f>
        <v/>
      </c>
      <c r="G193" s="5">
        <f>IF(A193="","",IF(IFERROR(XLOOKUP(A193,tblAccounts[Account_ID],tblAccounts[Include],FALSE),FALSE),SUMIFS(tblAcctSummary[Income_Interest_Base],tblAcctSummary[Account_ID],A193),0))</f>
        <v/>
      </c>
      <c r="H193" s="5">
        <f>IF(A193="","",IF(IFERROR(XLOOKUP(A193,tblAccounts[Account_ID],tblAccounts[Include],FALSE),FALSE),SUMIFS(tblAcctSummary[Income_Dividends_Base],tblAcctSummary[Account_ID],A193),0))</f>
        <v/>
      </c>
      <c r="I193" s="5">
        <f>IF(A193="","",IF(IFERROR(XLOOKUP(A193,tblAccounts[Account_ID],tblAccounts[Include],FALSE),FALSE),SUMIFS(tblAcctSummary[Income_Other_Base],tblAcctSummary[Account_ID],A193),0))</f>
        <v/>
      </c>
      <c r="J193" s="5">
        <f>IF(A193="","",SUM(G193:I193))</f>
        <v/>
      </c>
      <c r="K193" s="5">
        <f>IF(A193="","",IF(IFERROR(XLOOKUP(A193,tblAccounts[Account_ID],tblAccounts[Include],FALSE),FALSE),SUMIFS(tblAcctSummary[Realized_GL_Base],tblAcctSummary[Account_ID],A193),0))</f>
        <v/>
      </c>
      <c r="L193" s="5">
        <f>IF(A193="","",IF(IFERROR(XLOOKUP(A193,tblAccounts[Account_ID],tblAccounts[Include],FALSE),FALSE),SUMIFS(tblAcctSummary[Fees_Base],tblAcctSummary[Account_ID],A193),0))</f>
        <v/>
      </c>
      <c r="M193" s="5">
        <f>IF(A193="","",IF(IFERROR(XLOOKUP(A193,tblAccounts[Account_ID],tblAccounts[Include],FALSE),FALSE),SUMIFS(tblAcctSummary[Taxes_Base],tblAcctSummary[Account_ID],A193),0))</f>
        <v/>
      </c>
      <c r="N193" s="5">
        <f>IF(A193="","",IF(IFERROR(XLOOKUP(A193,tblAccounts[Account_ID],tblAccounts[Include],FALSE),FALSE),IFERROR(SUMPRODUCT(tblAcctSummary[Return_Period],tblAcctSummary[Begin_Balance_Base],--(tblAcctSummary[Account_ID]=A193))/IF(SUMIFS(tblAcctSummary[Begin_Balance_Base],tblAcctSummary[Account_ID],A193)=0,NA(),SUMIFS(tblAcctSummary[Begin_Balance_Base],tblAcctSummary[Account_ID],A193)),0),0))</f>
        <v/>
      </c>
    </row>
    <row r="194">
      <c r="A194" s="5">
        <f>IFERROR(INDEX(tblAccounts[Account_ID],191),"")</f>
        <v/>
      </c>
      <c r="B194" s="5">
        <f>IF(A194="","",IFERROR(XLOOKUP(A194,tblAccounts[Account_ID],tblAccounts[Account_Name],""),""))</f>
        <v/>
      </c>
      <c r="C194" s="5">
        <f>IF(A194="","",IFERROR(XLOOKUP(A194,tblAccounts[Account_ID],tblAccounts[Household_ID],""),""))</f>
        <v/>
      </c>
      <c r="D194" s="5">
        <f>IF(A194="","",IF(IFERROR(XLOOKUP(A194,tblAccounts[Account_ID],tblAccounts[Include],FALSE),FALSE),SUMIFS(tblAcctSummary[Begin_Balance_Base],tblAcctSummary[Account_ID],A194),0))</f>
        <v/>
      </c>
      <c r="E194" s="5">
        <f>IF(A194="","",IF(IFERROR(XLOOKUP(A194,tblAccounts[Account_ID],tblAccounts[Include],FALSE),FALSE),SUMIFS(tblAcctSummary[End_Balance_Base],tblAcctSummary[Account_ID],A194),0))</f>
        <v/>
      </c>
      <c r="F194" s="5">
        <f>IF(A194="","",IF(IFERROR(XLOOKUP(A194,tblAccounts[Account_ID],tblAccounts[Include],FALSE),FALSE),SUMIFS(tblAcctSummary[Net_Contrib_Base],tblAcctSummary[Account_ID],A194),0))</f>
        <v/>
      </c>
      <c r="G194" s="5">
        <f>IF(A194="","",IF(IFERROR(XLOOKUP(A194,tblAccounts[Account_ID],tblAccounts[Include],FALSE),FALSE),SUMIFS(tblAcctSummary[Income_Interest_Base],tblAcctSummary[Account_ID],A194),0))</f>
        <v/>
      </c>
      <c r="H194" s="5">
        <f>IF(A194="","",IF(IFERROR(XLOOKUP(A194,tblAccounts[Account_ID],tblAccounts[Include],FALSE),FALSE),SUMIFS(tblAcctSummary[Income_Dividends_Base],tblAcctSummary[Account_ID],A194),0))</f>
        <v/>
      </c>
      <c r="I194" s="5">
        <f>IF(A194="","",IF(IFERROR(XLOOKUP(A194,tblAccounts[Account_ID],tblAccounts[Include],FALSE),FALSE),SUMIFS(tblAcctSummary[Income_Other_Base],tblAcctSummary[Account_ID],A194),0))</f>
        <v/>
      </c>
      <c r="J194" s="5">
        <f>IF(A194="","",SUM(G194:I194))</f>
        <v/>
      </c>
      <c r="K194" s="5">
        <f>IF(A194="","",IF(IFERROR(XLOOKUP(A194,tblAccounts[Account_ID],tblAccounts[Include],FALSE),FALSE),SUMIFS(tblAcctSummary[Realized_GL_Base],tblAcctSummary[Account_ID],A194),0))</f>
        <v/>
      </c>
      <c r="L194" s="5">
        <f>IF(A194="","",IF(IFERROR(XLOOKUP(A194,tblAccounts[Account_ID],tblAccounts[Include],FALSE),FALSE),SUMIFS(tblAcctSummary[Fees_Base],tblAcctSummary[Account_ID],A194),0))</f>
        <v/>
      </c>
      <c r="M194" s="5">
        <f>IF(A194="","",IF(IFERROR(XLOOKUP(A194,tblAccounts[Account_ID],tblAccounts[Include],FALSE),FALSE),SUMIFS(tblAcctSummary[Taxes_Base],tblAcctSummary[Account_ID],A194),0))</f>
        <v/>
      </c>
      <c r="N194" s="5">
        <f>IF(A194="","",IF(IFERROR(XLOOKUP(A194,tblAccounts[Account_ID],tblAccounts[Include],FALSE),FALSE),IFERROR(SUMPRODUCT(tblAcctSummary[Return_Period],tblAcctSummary[Begin_Balance_Base],--(tblAcctSummary[Account_ID]=A194))/IF(SUMIFS(tblAcctSummary[Begin_Balance_Base],tblAcctSummary[Account_ID],A194)=0,NA(),SUMIFS(tblAcctSummary[Begin_Balance_Base],tblAcctSummary[Account_ID],A194)),0),0))</f>
        <v/>
      </c>
    </row>
    <row r="195">
      <c r="A195" s="5">
        <f>IFERROR(INDEX(tblAccounts[Account_ID],192),"")</f>
        <v/>
      </c>
      <c r="B195" s="5">
        <f>IF(A195="","",IFERROR(XLOOKUP(A195,tblAccounts[Account_ID],tblAccounts[Account_Name],""),""))</f>
        <v/>
      </c>
      <c r="C195" s="5">
        <f>IF(A195="","",IFERROR(XLOOKUP(A195,tblAccounts[Account_ID],tblAccounts[Household_ID],""),""))</f>
        <v/>
      </c>
      <c r="D195" s="5">
        <f>IF(A195="","",IF(IFERROR(XLOOKUP(A195,tblAccounts[Account_ID],tblAccounts[Include],FALSE),FALSE),SUMIFS(tblAcctSummary[Begin_Balance_Base],tblAcctSummary[Account_ID],A195),0))</f>
        <v/>
      </c>
      <c r="E195" s="5">
        <f>IF(A195="","",IF(IFERROR(XLOOKUP(A195,tblAccounts[Account_ID],tblAccounts[Include],FALSE),FALSE),SUMIFS(tblAcctSummary[End_Balance_Base],tblAcctSummary[Account_ID],A195),0))</f>
        <v/>
      </c>
      <c r="F195" s="5">
        <f>IF(A195="","",IF(IFERROR(XLOOKUP(A195,tblAccounts[Account_ID],tblAccounts[Include],FALSE),FALSE),SUMIFS(tblAcctSummary[Net_Contrib_Base],tblAcctSummary[Account_ID],A195),0))</f>
        <v/>
      </c>
      <c r="G195" s="5">
        <f>IF(A195="","",IF(IFERROR(XLOOKUP(A195,tblAccounts[Account_ID],tblAccounts[Include],FALSE),FALSE),SUMIFS(tblAcctSummary[Income_Interest_Base],tblAcctSummary[Account_ID],A195),0))</f>
        <v/>
      </c>
      <c r="H195" s="5">
        <f>IF(A195="","",IF(IFERROR(XLOOKUP(A195,tblAccounts[Account_ID],tblAccounts[Include],FALSE),FALSE),SUMIFS(tblAcctSummary[Income_Dividends_Base],tblAcctSummary[Account_ID],A195),0))</f>
        <v/>
      </c>
      <c r="I195" s="5">
        <f>IF(A195="","",IF(IFERROR(XLOOKUP(A195,tblAccounts[Account_ID],tblAccounts[Include],FALSE),FALSE),SUMIFS(tblAcctSummary[Income_Other_Base],tblAcctSummary[Account_ID],A195),0))</f>
        <v/>
      </c>
      <c r="J195" s="5">
        <f>IF(A195="","",SUM(G195:I195))</f>
        <v/>
      </c>
      <c r="K195" s="5">
        <f>IF(A195="","",IF(IFERROR(XLOOKUP(A195,tblAccounts[Account_ID],tblAccounts[Include],FALSE),FALSE),SUMIFS(tblAcctSummary[Realized_GL_Base],tblAcctSummary[Account_ID],A195),0))</f>
        <v/>
      </c>
      <c r="L195" s="5">
        <f>IF(A195="","",IF(IFERROR(XLOOKUP(A195,tblAccounts[Account_ID],tblAccounts[Include],FALSE),FALSE),SUMIFS(tblAcctSummary[Fees_Base],tblAcctSummary[Account_ID],A195),0))</f>
        <v/>
      </c>
      <c r="M195" s="5">
        <f>IF(A195="","",IF(IFERROR(XLOOKUP(A195,tblAccounts[Account_ID],tblAccounts[Include],FALSE),FALSE),SUMIFS(tblAcctSummary[Taxes_Base],tblAcctSummary[Account_ID],A195),0))</f>
        <v/>
      </c>
      <c r="N195" s="5">
        <f>IF(A195="","",IF(IFERROR(XLOOKUP(A195,tblAccounts[Account_ID],tblAccounts[Include],FALSE),FALSE),IFERROR(SUMPRODUCT(tblAcctSummary[Return_Period],tblAcctSummary[Begin_Balance_Base],--(tblAcctSummary[Account_ID]=A195))/IF(SUMIFS(tblAcctSummary[Begin_Balance_Base],tblAcctSummary[Account_ID],A195)=0,NA(),SUMIFS(tblAcctSummary[Begin_Balance_Base],tblAcctSummary[Account_ID],A195)),0),0))</f>
        <v/>
      </c>
    </row>
    <row r="196">
      <c r="A196" s="5">
        <f>IFERROR(INDEX(tblAccounts[Account_ID],193),"")</f>
        <v/>
      </c>
      <c r="B196" s="5">
        <f>IF(A196="","",IFERROR(XLOOKUP(A196,tblAccounts[Account_ID],tblAccounts[Account_Name],""),""))</f>
        <v/>
      </c>
      <c r="C196" s="5">
        <f>IF(A196="","",IFERROR(XLOOKUP(A196,tblAccounts[Account_ID],tblAccounts[Household_ID],""),""))</f>
        <v/>
      </c>
      <c r="D196" s="5">
        <f>IF(A196="","",IF(IFERROR(XLOOKUP(A196,tblAccounts[Account_ID],tblAccounts[Include],FALSE),FALSE),SUMIFS(tblAcctSummary[Begin_Balance_Base],tblAcctSummary[Account_ID],A196),0))</f>
        <v/>
      </c>
      <c r="E196" s="5">
        <f>IF(A196="","",IF(IFERROR(XLOOKUP(A196,tblAccounts[Account_ID],tblAccounts[Include],FALSE),FALSE),SUMIFS(tblAcctSummary[End_Balance_Base],tblAcctSummary[Account_ID],A196),0))</f>
        <v/>
      </c>
      <c r="F196" s="5">
        <f>IF(A196="","",IF(IFERROR(XLOOKUP(A196,tblAccounts[Account_ID],tblAccounts[Include],FALSE),FALSE),SUMIFS(tblAcctSummary[Net_Contrib_Base],tblAcctSummary[Account_ID],A196),0))</f>
        <v/>
      </c>
      <c r="G196" s="5">
        <f>IF(A196="","",IF(IFERROR(XLOOKUP(A196,tblAccounts[Account_ID],tblAccounts[Include],FALSE),FALSE),SUMIFS(tblAcctSummary[Income_Interest_Base],tblAcctSummary[Account_ID],A196),0))</f>
        <v/>
      </c>
      <c r="H196" s="5">
        <f>IF(A196="","",IF(IFERROR(XLOOKUP(A196,tblAccounts[Account_ID],tblAccounts[Include],FALSE),FALSE),SUMIFS(tblAcctSummary[Income_Dividends_Base],tblAcctSummary[Account_ID],A196),0))</f>
        <v/>
      </c>
      <c r="I196" s="5">
        <f>IF(A196="","",IF(IFERROR(XLOOKUP(A196,tblAccounts[Account_ID],tblAccounts[Include],FALSE),FALSE),SUMIFS(tblAcctSummary[Income_Other_Base],tblAcctSummary[Account_ID],A196),0))</f>
        <v/>
      </c>
      <c r="J196" s="5">
        <f>IF(A196="","",SUM(G196:I196))</f>
        <v/>
      </c>
      <c r="K196" s="5">
        <f>IF(A196="","",IF(IFERROR(XLOOKUP(A196,tblAccounts[Account_ID],tblAccounts[Include],FALSE),FALSE),SUMIFS(tblAcctSummary[Realized_GL_Base],tblAcctSummary[Account_ID],A196),0))</f>
        <v/>
      </c>
      <c r="L196" s="5">
        <f>IF(A196="","",IF(IFERROR(XLOOKUP(A196,tblAccounts[Account_ID],tblAccounts[Include],FALSE),FALSE),SUMIFS(tblAcctSummary[Fees_Base],tblAcctSummary[Account_ID],A196),0))</f>
        <v/>
      </c>
      <c r="M196" s="5">
        <f>IF(A196="","",IF(IFERROR(XLOOKUP(A196,tblAccounts[Account_ID],tblAccounts[Include],FALSE),FALSE),SUMIFS(tblAcctSummary[Taxes_Base],tblAcctSummary[Account_ID],A196),0))</f>
        <v/>
      </c>
      <c r="N196" s="5">
        <f>IF(A196="","",IF(IFERROR(XLOOKUP(A196,tblAccounts[Account_ID],tblAccounts[Include],FALSE),FALSE),IFERROR(SUMPRODUCT(tblAcctSummary[Return_Period],tblAcctSummary[Begin_Balance_Base],--(tblAcctSummary[Account_ID]=A196))/IF(SUMIFS(tblAcctSummary[Begin_Balance_Base],tblAcctSummary[Account_ID],A196)=0,NA(),SUMIFS(tblAcctSummary[Begin_Balance_Base],tblAcctSummary[Account_ID],A196)),0),0))</f>
        <v/>
      </c>
    </row>
    <row r="197">
      <c r="A197" s="5">
        <f>IFERROR(INDEX(tblAccounts[Account_ID],194),"")</f>
        <v/>
      </c>
      <c r="B197" s="5">
        <f>IF(A197="","",IFERROR(XLOOKUP(A197,tblAccounts[Account_ID],tblAccounts[Account_Name],""),""))</f>
        <v/>
      </c>
      <c r="C197" s="5">
        <f>IF(A197="","",IFERROR(XLOOKUP(A197,tblAccounts[Account_ID],tblAccounts[Household_ID],""),""))</f>
        <v/>
      </c>
      <c r="D197" s="5">
        <f>IF(A197="","",IF(IFERROR(XLOOKUP(A197,tblAccounts[Account_ID],tblAccounts[Include],FALSE),FALSE),SUMIFS(tblAcctSummary[Begin_Balance_Base],tblAcctSummary[Account_ID],A197),0))</f>
        <v/>
      </c>
      <c r="E197" s="5">
        <f>IF(A197="","",IF(IFERROR(XLOOKUP(A197,tblAccounts[Account_ID],tblAccounts[Include],FALSE),FALSE),SUMIFS(tblAcctSummary[End_Balance_Base],tblAcctSummary[Account_ID],A197),0))</f>
        <v/>
      </c>
      <c r="F197" s="5">
        <f>IF(A197="","",IF(IFERROR(XLOOKUP(A197,tblAccounts[Account_ID],tblAccounts[Include],FALSE),FALSE),SUMIFS(tblAcctSummary[Net_Contrib_Base],tblAcctSummary[Account_ID],A197),0))</f>
        <v/>
      </c>
      <c r="G197" s="5">
        <f>IF(A197="","",IF(IFERROR(XLOOKUP(A197,tblAccounts[Account_ID],tblAccounts[Include],FALSE),FALSE),SUMIFS(tblAcctSummary[Income_Interest_Base],tblAcctSummary[Account_ID],A197),0))</f>
        <v/>
      </c>
      <c r="H197" s="5">
        <f>IF(A197="","",IF(IFERROR(XLOOKUP(A197,tblAccounts[Account_ID],tblAccounts[Include],FALSE),FALSE),SUMIFS(tblAcctSummary[Income_Dividends_Base],tblAcctSummary[Account_ID],A197),0))</f>
        <v/>
      </c>
      <c r="I197" s="5">
        <f>IF(A197="","",IF(IFERROR(XLOOKUP(A197,tblAccounts[Account_ID],tblAccounts[Include],FALSE),FALSE),SUMIFS(tblAcctSummary[Income_Other_Base],tblAcctSummary[Account_ID],A197),0))</f>
        <v/>
      </c>
      <c r="J197" s="5">
        <f>IF(A197="","",SUM(G197:I197))</f>
        <v/>
      </c>
      <c r="K197" s="5">
        <f>IF(A197="","",IF(IFERROR(XLOOKUP(A197,tblAccounts[Account_ID],tblAccounts[Include],FALSE),FALSE),SUMIFS(tblAcctSummary[Realized_GL_Base],tblAcctSummary[Account_ID],A197),0))</f>
        <v/>
      </c>
      <c r="L197" s="5">
        <f>IF(A197="","",IF(IFERROR(XLOOKUP(A197,tblAccounts[Account_ID],tblAccounts[Include],FALSE),FALSE),SUMIFS(tblAcctSummary[Fees_Base],tblAcctSummary[Account_ID],A197),0))</f>
        <v/>
      </c>
      <c r="M197" s="5">
        <f>IF(A197="","",IF(IFERROR(XLOOKUP(A197,tblAccounts[Account_ID],tblAccounts[Include],FALSE),FALSE),SUMIFS(tblAcctSummary[Taxes_Base],tblAcctSummary[Account_ID],A197),0))</f>
        <v/>
      </c>
      <c r="N197" s="5">
        <f>IF(A197="","",IF(IFERROR(XLOOKUP(A197,tblAccounts[Account_ID],tblAccounts[Include],FALSE),FALSE),IFERROR(SUMPRODUCT(tblAcctSummary[Return_Period],tblAcctSummary[Begin_Balance_Base],--(tblAcctSummary[Account_ID]=A197))/IF(SUMIFS(tblAcctSummary[Begin_Balance_Base],tblAcctSummary[Account_ID],A197)=0,NA(),SUMIFS(tblAcctSummary[Begin_Balance_Base],tblAcctSummary[Account_ID],A197)),0),0))</f>
        <v/>
      </c>
    </row>
    <row r="198">
      <c r="A198" s="5">
        <f>IFERROR(INDEX(tblAccounts[Account_ID],195),"")</f>
        <v/>
      </c>
      <c r="B198" s="5">
        <f>IF(A198="","",IFERROR(XLOOKUP(A198,tblAccounts[Account_ID],tblAccounts[Account_Name],""),""))</f>
        <v/>
      </c>
      <c r="C198" s="5">
        <f>IF(A198="","",IFERROR(XLOOKUP(A198,tblAccounts[Account_ID],tblAccounts[Household_ID],""),""))</f>
        <v/>
      </c>
      <c r="D198" s="5">
        <f>IF(A198="","",IF(IFERROR(XLOOKUP(A198,tblAccounts[Account_ID],tblAccounts[Include],FALSE),FALSE),SUMIFS(tblAcctSummary[Begin_Balance_Base],tblAcctSummary[Account_ID],A198),0))</f>
        <v/>
      </c>
      <c r="E198" s="5">
        <f>IF(A198="","",IF(IFERROR(XLOOKUP(A198,tblAccounts[Account_ID],tblAccounts[Include],FALSE),FALSE),SUMIFS(tblAcctSummary[End_Balance_Base],tblAcctSummary[Account_ID],A198),0))</f>
        <v/>
      </c>
      <c r="F198" s="5">
        <f>IF(A198="","",IF(IFERROR(XLOOKUP(A198,tblAccounts[Account_ID],tblAccounts[Include],FALSE),FALSE),SUMIFS(tblAcctSummary[Net_Contrib_Base],tblAcctSummary[Account_ID],A198),0))</f>
        <v/>
      </c>
      <c r="G198" s="5">
        <f>IF(A198="","",IF(IFERROR(XLOOKUP(A198,tblAccounts[Account_ID],tblAccounts[Include],FALSE),FALSE),SUMIFS(tblAcctSummary[Income_Interest_Base],tblAcctSummary[Account_ID],A198),0))</f>
        <v/>
      </c>
      <c r="H198" s="5">
        <f>IF(A198="","",IF(IFERROR(XLOOKUP(A198,tblAccounts[Account_ID],tblAccounts[Include],FALSE),FALSE),SUMIFS(tblAcctSummary[Income_Dividends_Base],tblAcctSummary[Account_ID],A198),0))</f>
        <v/>
      </c>
      <c r="I198" s="5">
        <f>IF(A198="","",IF(IFERROR(XLOOKUP(A198,tblAccounts[Account_ID],tblAccounts[Include],FALSE),FALSE),SUMIFS(tblAcctSummary[Income_Other_Base],tblAcctSummary[Account_ID],A198),0))</f>
        <v/>
      </c>
      <c r="J198" s="5">
        <f>IF(A198="","",SUM(G198:I198))</f>
        <v/>
      </c>
      <c r="K198" s="5">
        <f>IF(A198="","",IF(IFERROR(XLOOKUP(A198,tblAccounts[Account_ID],tblAccounts[Include],FALSE),FALSE),SUMIFS(tblAcctSummary[Realized_GL_Base],tblAcctSummary[Account_ID],A198),0))</f>
        <v/>
      </c>
      <c r="L198" s="5">
        <f>IF(A198="","",IF(IFERROR(XLOOKUP(A198,tblAccounts[Account_ID],tblAccounts[Include],FALSE),FALSE),SUMIFS(tblAcctSummary[Fees_Base],tblAcctSummary[Account_ID],A198),0))</f>
        <v/>
      </c>
      <c r="M198" s="5">
        <f>IF(A198="","",IF(IFERROR(XLOOKUP(A198,tblAccounts[Account_ID],tblAccounts[Include],FALSE),FALSE),SUMIFS(tblAcctSummary[Taxes_Base],tblAcctSummary[Account_ID],A198),0))</f>
        <v/>
      </c>
      <c r="N198" s="5">
        <f>IF(A198="","",IF(IFERROR(XLOOKUP(A198,tblAccounts[Account_ID],tblAccounts[Include],FALSE),FALSE),IFERROR(SUMPRODUCT(tblAcctSummary[Return_Period],tblAcctSummary[Begin_Balance_Base],--(tblAcctSummary[Account_ID]=A198))/IF(SUMIFS(tblAcctSummary[Begin_Balance_Base],tblAcctSummary[Account_ID],A198)=0,NA(),SUMIFS(tblAcctSummary[Begin_Balance_Base],tblAcctSummary[Account_ID],A198)),0),0))</f>
        <v/>
      </c>
    </row>
    <row r="199">
      <c r="A199" s="5">
        <f>IFERROR(INDEX(tblAccounts[Account_ID],196),"")</f>
        <v/>
      </c>
      <c r="B199" s="5">
        <f>IF(A199="","",IFERROR(XLOOKUP(A199,tblAccounts[Account_ID],tblAccounts[Account_Name],""),""))</f>
        <v/>
      </c>
      <c r="C199" s="5">
        <f>IF(A199="","",IFERROR(XLOOKUP(A199,tblAccounts[Account_ID],tblAccounts[Household_ID],""),""))</f>
        <v/>
      </c>
      <c r="D199" s="5">
        <f>IF(A199="","",IF(IFERROR(XLOOKUP(A199,tblAccounts[Account_ID],tblAccounts[Include],FALSE),FALSE),SUMIFS(tblAcctSummary[Begin_Balance_Base],tblAcctSummary[Account_ID],A199),0))</f>
        <v/>
      </c>
      <c r="E199" s="5">
        <f>IF(A199="","",IF(IFERROR(XLOOKUP(A199,tblAccounts[Account_ID],tblAccounts[Include],FALSE),FALSE),SUMIFS(tblAcctSummary[End_Balance_Base],tblAcctSummary[Account_ID],A199),0))</f>
        <v/>
      </c>
      <c r="F199" s="5">
        <f>IF(A199="","",IF(IFERROR(XLOOKUP(A199,tblAccounts[Account_ID],tblAccounts[Include],FALSE),FALSE),SUMIFS(tblAcctSummary[Net_Contrib_Base],tblAcctSummary[Account_ID],A199),0))</f>
        <v/>
      </c>
      <c r="G199" s="5">
        <f>IF(A199="","",IF(IFERROR(XLOOKUP(A199,tblAccounts[Account_ID],tblAccounts[Include],FALSE),FALSE),SUMIFS(tblAcctSummary[Income_Interest_Base],tblAcctSummary[Account_ID],A199),0))</f>
        <v/>
      </c>
      <c r="H199" s="5">
        <f>IF(A199="","",IF(IFERROR(XLOOKUP(A199,tblAccounts[Account_ID],tblAccounts[Include],FALSE),FALSE),SUMIFS(tblAcctSummary[Income_Dividends_Base],tblAcctSummary[Account_ID],A199),0))</f>
        <v/>
      </c>
      <c r="I199" s="5">
        <f>IF(A199="","",IF(IFERROR(XLOOKUP(A199,tblAccounts[Account_ID],tblAccounts[Include],FALSE),FALSE),SUMIFS(tblAcctSummary[Income_Other_Base],tblAcctSummary[Account_ID],A199),0))</f>
        <v/>
      </c>
      <c r="J199" s="5">
        <f>IF(A199="","",SUM(G199:I199))</f>
        <v/>
      </c>
      <c r="K199" s="5">
        <f>IF(A199="","",IF(IFERROR(XLOOKUP(A199,tblAccounts[Account_ID],tblAccounts[Include],FALSE),FALSE),SUMIFS(tblAcctSummary[Realized_GL_Base],tblAcctSummary[Account_ID],A199),0))</f>
        <v/>
      </c>
      <c r="L199" s="5">
        <f>IF(A199="","",IF(IFERROR(XLOOKUP(A199,tblAccounts[Account_ID],tblAccounts[Include],FALSE),FALSE),SUMIFS(tblAcctSummary[Fees_Base],tblAcctSummary[Account_ID],A199),0))</f>
        <v/>
      </c>
      <c r="M199" s="5">
        <f>IF(A199="","",IF(IFERROR(XLOOKUP(A199,tblAccounts[Account_ID],tblAccounts[Include],FALSE),FALSE),SUMIFS(tblAcctSummary[Taxes_Base],tblAcctSummary[Account_ID],A199),0))</f>
        <v/>
      </c>
      <c r="N199" s="5">
        <f>IF(A199="","",IF(IFERROR(XLOOKUP(A199,tblAccounts[Account_ID],tblAccounts[Include],FALSE),FALSE),IFERROR(SUMPRODUCT(tblAcctSummary[Return_Period],tblAcctSummary[Begin_Balance_Base],--(tblAcctSummary[Account_ID]=A199))/IF(SUMIFS(tblAcctSummary[Begin_Balance_Base],tblAcctSummary[Account_ID],A199)=0,NA(),SUMIFS(tblAcctSummary[Begin_Balance_Base],tblAcctSummary[Account_ID],A199)),0),0))</f>
        <v/>
      </c>
    </row>
    <row r="200">
      <c r="A200" s="5">
        <f>IFERROR(INDEX(tblAccounts[Account_ID],197),"")</f>
        <v/>
      </c>
      <c r="B200" s="5">
        <f>IF(A200="","",IFERROR(XLOOKUP(A200,tblAccounts[Account_ID],tblAccounts[Account_Name],""),""))</f>
        <v/>
      </c>
      <c r="C200" s="5">
        <f>IF(A200="","",IFERROR(XLOOKUP(A200,tblAccounts[Account_ID],tblAccounts[Household_ID],""),""))</f>
        <v/>
      </c>
      <c r="D200" s="5">
        <f>IF(A200="","",IF(IFERROR(XLOOKUP(A200,tblAccounts[Account_ID],tblAccounts[Include],FALSE),FALSE),SUMIFS(tblAcctSummary[Begin_Balance_Base],tblAcctSummary[Account_ID],A200),0))</f>
        <v/>
      </c>
      <c r="E200" s="5">
        <f>IF(A200="","",IF(IFERROR(XLOOKUP(A200,tblAccounts[Account_ID],tblAccounts[Include],FALSE),FALSE),SUMIFS(tblAcctSummary[End_Balance_Base],tblAcctSummary[Account_ID],A200),0))</f>
        <v/>
      </c>
      <c r="F200" s="5">
        <f>IF(A200="","",IF(IFERROR(XLOOKUP(A200,tblAccounts[Account_ID],tblAccounts[Include],FALSE),FALSE),SUMIFS(tblAcctSummary[Net_Contrib_Base],tblAcctSummary[Account_ID],A200),0))</f>
        <v/>
      </c>
      <c r="G200" s="5">
        <f>IF(A200="","",IF(IFERROR(XLOOKUP(A200,tblAccounts[Account_ID],tblAccounts[Include],FALSE),FALSE),SUMIFS(tblAcctSummary[Income_Interest_Base],tblAcctSummary[Account_ID],A200),0))</f>
        <v/>
      </c>
      <c r="H200" s="5">
        <f>IF(A200="","",IF(IFERROR(XLOOKUP(A200,tblAccounts[Account_ID],tblAccounts[Include],FALSE),FALSE),SUMIFS(tblAcctSummary[Income_Dividends_Base],tblAcctSummary[Account_ID],A200),0))</f>
        <v/>
      </c>
      <c r="I200" s="5">
        <f>IF(A200="","",IF(IFERROR(XLOOKUP(A200,tblAccounts[Account_ID],tblAccounts[Include],FALSE),FALSE),SUMIFS(tblAcctSummary[Income_Other_Base],tblAcctSummary[Account_ID],A200),0))</f>
        <v/>
      </c>
      <c r="J200" s="5">
        <f>IF(A200="","",SUM(G200:I200))</f>
        <v/>
      </c>
      <c r="K200" s="5">
        <f>IF(A200="","",IF(IFERROR(XLOOKUP(A200,tblAccounts[Account_ID],tblAccounts[Include],FALSE),FALSE),SUMIFS(tblAcctSummary[Realized_GL_Base],tblAcctSummary[Account_ID],A200),0))</f>
        <v/>
      </c>
      <c r="L200" s="5">
        <f>IF(A200="","",IF(IFERROR(XLOOKUP(A200,tblAccounts[Account_ID],tblAccounts[Include],FALSE),FALSE),SUMIFS(tblAcctSummary[Fees_Base],tblAcctSummary[Account_ID],A200),0))</f>
        <v/>
      </c>
      <c r="M200" s="5">
        <f>IF(A200="","",IF(IFERROR(XLOOKUP(A200,tblAccounts[Account_ID],tblAccounts[Include],FALSE),FALSE),SUMIFS(tblAcctSummary[Taxes_Base],tblAcctSummary[Account_ID],A200),0))</f>
        <v/>
      </c>
      <c r="N200" s="5">
        <f>IF(A200="","",IF(IFERROR(XLOOKUP(A200,tblAccounts[Account_ID],tblAccounts[Include],FALSE),FALSE),IFERROR(SUMPRODUCT(tblAcctSummary[Return_Period],tblAcctSummary[Begin_Balance_Base],--(tblAcctSummary[Account_ID]=A200))/IF(SUMIFS(tblAcctSummary[Begin_Balance_Base],tblAcctSummary[Account_ID],A200)=0,NA(),SUMIFS(tblAcctSummary[Begin_Balance_Base],tblAcctSummary[Account_ID],A200)),0),0))</f>
        <v/>
      </c>
    </row>
    <row r="201">
      <c r="A201" s="5">
        <f>IFERROR(INDEX(tblAccounts[Account_ID],198),"")</f>
        <v/>
      </c>
      <c r="B201" s="5">
        <f>IF(A201="","",IFERROR(XLOOKUP(A201,tblAccounts[Account_ID],tblAccounts[Account_Name],""),""))</f>
        <v/>
      </c>
      <c r="C201" s="5">
        <f>IF(A201="","",IFERROR(XLOOKUP(A201,tblAccounts[Account_ID],tblAccounts[Household_ID],""),""))</f>
        <v/>
      </c>
      <c r="D201" s="5">
        <f>IF(A201="","",IF(IFERROR(XLOOKUP(A201,tblAccounts[Account_ID],tblAccounts[Include],FALSE),FALSE),SUMIFS(tblAcctSummary[Begin_Balance_Base],tblAcctSummary[Account_ID],A201),0))</f>
        <v/>
      </c>
      <c r="E201" s="5">
        <f>IF(A201="","",IF(IFERROR(XLOOKUP(A201,tblAccounts[Account_ID],tblAccounts[Include],FALSE),FALSE),SUMIFS(tblAcctSummary[End_Balance_Base],tblAcctSummary[Account_ID],A201),0))</f>
        <v/>
      </c>
      <c r="F201" s="5">
        <f>IF(A201="","",IF(IFERROR(XLOOKUP(A201,tblAccounts[Account_ID],tblAccounts[Include],FALSE),FALSE),SUMIFS(tblAcctSummary[Net_Contrib_Base],tblAcctSummary[Account_ID],A201),0))</f>
        <v/>
      </c>
      <c r="G201" s="5">
        <f>IF(A201="","",IF(IFERROR(XLOOKUP(A201,tblAccounts[Account_ID],tblAccounts[Include],FALSE),FALSE),SUMIFS(tblAcctSummary[Income_Interest_Base],tblAcctSummary[Account_ID],A201),0))</f>
        <v/>
      </c>
      <c r="H201" s="5">
        <f>IF(A201="","",IF(IFERROR(XLOOKUP(A201,tblAccounts[Account_ID],tblAccounts[Include],FALSE),FALSE),SUMIFS(tblAcctSummary[Income_Dividends_Base],tblAcctSummary[Account_ID],A201),0))</f>
        <v/>
      </c>
      <c r="I201" s="5">
        <f>IF(A201="","",IF(IFERROR(XLOOKUP(A201,tblAccounts[Account_ID],tblAccounts[Include],FALSE),FALSE),SUMIFS(tblAcctSummary[Income_Other_Base],tblAcctSummary[Account_ID],A201),0))</f>
        <v/>
      </c>
      <c r="J201" s="5">
        <f>IF(A201="","",SUM(G201:I201))</f>
        <v/>
      </c>
      <c r="K201" s="5">
        <f>IF(A201="","",IF(IFERROR(XLOOKUP(A201,tblAccounts[Account_ID],tblAccounts[Include],FALSE),FALSE),SUMIFS(tblAcctSummary[Realized_GL_Base],tblAcctSummary[Account_ID],A201),0))</f>
        <v/>
      </c>
      <c r="L201" s="5">
        <f>IF(A201="","",IF(IFERROR(XLOOKUP(A201,tblAccounts[Account_ID],tblAccounts[Include],FALSE),FALSE),SUMIFS(tblAcctSummary[Fees_Base],tblAcctSummary[Account_ID],A201),0))</f>
        <v/>
      </c>
      <c r="M201" s="5">
        <f>IF(A201="","",IF(IFERROR(XLOOKUP(A201,tblAccounts[Account_ID],tblAccounts[Include],FALSE),FALSE),SUMIFS(tblAcctSummary[Taxes_Base],tblAcctSummary[Account_ID],A201),0))</f>
        <v/>
      </c>
      <c r="N201" s="5">
        <f>IF(A201="","",IF(IFERROR(XLOOKUP(A201,tblAccounts[Account_ID],tblAccounts[Include],FALSE),FALSE),IFERROR(SUMPRODUCT(tblAcctSummary[Return_Period],tblAcctSummary[Begin_Balance_Base],--(tblAcctSummary[Account_ID]=A201))/IF(SUMIFS(tblAcctSummary[Begin_Balance_Base],tblAcctSummary[Account_ID],A201)=0,NA(),SUMIFS(tblAcctSummary[Begin_Balance_Base],tblAcctSummary[Account_ID],A201)),0),0))</f>
        <v/>
      </c>
    </row>
    <row r="202">
      <c r="A202" s="5">
        <f>IFERROR(INDEX(tblAccounts[Account_ID],199),"")</f>
        <v/>
      </c>
      <c r="B202" s="5">
        <f>IF(A202="","",IFERROR(XLOOKUP(A202,tblAccounts[Account_ID],tblAccounts[Account_Name],""),""))</f>
        <v/>
      </c>
      <c r="C202" s="5">
        <f>IF(A202="","",IFERROR(XLOOKUP(A202,tblAccounts[Account_ID],tblAccounts[Household_ID],""),""))</f>
        <v/>
      </c>
      <c r="D202" s="5">
        <f>IF(A202="","",IF(IFERROR(XLOOKUP(A202,tblAccounts[Account_ID],tblAccounts[Include],FALSE),FALSE),SUMIFS(tblAcctSummary[Begin_Balance_Base],tblAcctSummary[Account_ID],A202),0))</f>
        <v/>
      </c>
      <c r="E202" s="5">
        <f>IF(A202="","",IF(IFERROR(XLOOKUP(A202,tblAccounts[Account_ID],tblAccounts[Include],FALSE),FALSE),SUMIFS(tblAcctSummary[End_Balance_Base],tblAcctSummary[Account_ID],A202),0))</f>
        <v/>
      </c>
      <c r="F202" s="5">
        <f>IF(A202="","",IF(IFERROR(XLOOKUP(A202,tblAccounts[Account_ID],tblAccounts[Include],FALSE),FALSE),SUMIFS(tblAcctSummary[Net_Contrib_Base],tblAcctSummary[Account_ID],A202),0))</f>
        <v/>
      </c>
      <c r="G202" s="5">
        <f>IF(A202="","",IF(IFERROR(XLOOKUP(A202,tblAccounts[Account_ID],tblAccounts[Include],FALSE),FALSE),SUMIFS(tblAcctSummary[Income_Interest_Base],tblAcctSummary[Account_ID],A202),0))</f>
        <v/>
      </c>
      <c r="H202" s="5">
        <f>IF(A202="","",IF(IFERROR(XLOOKUP(A202,tblAccounts[Account_ID],tblAccounts[Include],FALSE),FALSE),SUMIFS(tblAcctSummary[Income_Dividends_Base],tblAcctSummary[Account_ID],A202),0))</f>
        <v/>
      </c>
      <c r="I202" s="5">
        <f>IF(A202="","",IF(IFERROR(XLOOKUP(A202,tblAccounts[Account_ID],tblAccounts[Include],FALSE),FALSE),SUMIFS(tblAcctSummary[Income_Other_Base],tblAcctSummary[Account_ID],A202),0))</f>
        <v/>
      </c>
      <c r="J202" s="5">
        <f>IF(A202="","",SUM(G202:I202))</f>
        <v/>
      </c>
      <c r="K202" s="5">
        <f>IF(A202="","",IF(IFERROR(XLOOKUP(A202,tblAccounts[Account_ID],tblAccounts[Include],FALSE),FALSE),SUMIFS(tblAcctSummary[Realized_GL_Base],tblAcctSummary[Account_ID],A202),0))</f>
        <v/>
      </c>
      <c r="L202" s="5">
        <f>IF(A202="","",IF(IFERROR(XLOOKUP(A202,tblAccounts[Account_ID],tblAccounts[Include],FALSE),FALSE),SUMIFS(tblAcctSummary[Fees_Base],tblAcctSummary[Account_ID],A202),0))</f>
        <v/>
      </c>
      <c r="M202" s="5">
        <f>IF(A202="","",IF(IFERROR(XLOOKUP(A202,tblAccounts[Account_ID],tblAccounts[Include],FALSE),FALSE),SUMIFS(tblAcctSummary[Taxes_Base],tblAcctSummary[Account_ID],A202),0))</f>
        <v/>
      </c>
      <c r="N202" s="5">
        <f>IF(A202="","",IF(IFERROR(XLOOKUP(A202,tblAccounts[Account_ID],tblAccounts[Include],FALSE),FALSE),IFERROR(SUMPRODUCT(tblAcctSummary[Return_Period],tblAcctSummary[Begin_Balance_Base],--(tblAcctSummary[Account_ID]=A202))/IF(SUMIFS(tblAcctSummary[Begin_Balance_Base],tblAcctSummary[Account_ID],A202)=0,NA(),SUMIFS(tblAcctSummary[Begin_Balance_Base],tblAcctSummary[Account_ID],A202)),0),0))</f>
        <v/>
      </c>
    </row>
    <row r="203">
      <c r="A203" s="5">
        <f>IFERROR(INDEX(tblAccounts[Account_ID],200),"")</f>
        <v/>
      </c>
      <c r="B203" s="5">
        <f>IF(A203="","",IFERROR(XLOOKUP(A203,tblAccounts[Account_ID],tblAccounts[Account_Name],""),""))</f>
        <v/>
      </c>
      <c r="C203" s="5">
        <f>IF(A203="","",IFERROR(XLOOKUP(A203,tblAccounts[Account_ID],tblAccounts[Household_ID],""),""))</f>
        <v/>
      </c>
      <c r="D203" s="5">
        <f>IF(A203="","",IF(IFERROR(XLOOKUP(A203,tblAccounts[Account_ID],tblAccounts[Include],FALSE),FALSE),SUMIFS(tblAcctSummary[Begin_Balance_Base],tblAcctSummary[Account_ID],A203),0))</f>
        <v/>
      </c>
      <c r="E203" s="5">
        <f>IF(A203="","",IF(IFERROR(XLOOKUP(A203,tblAccounts[Account_ID],tblAccounts[Include],FALSE),FALSE),SUMIFS(tblAcctSummary[End_Balance_Base],tblAcctSummary[Account_ID],A203),0))</f>
        <v/>
      </c>
      <c r="F203" s="5">
        <f>IF(A203="","",IF(IFERROR(XLOOKUP(A203,tblAccounts[Account_ID],tblAccounts[Include],FALSE),FALSE),SUMIFS(tblAcctSummary[Net_Contrib_Base],tblAcctSummary[Account_ID],A203),0))</f>
        <v/>
      </c>
      <c r="G203" s="5">
        <f>IF(A203="","",IF(IFERROR(XLOOKUP(A203,tblAccounts[Account_ID],tblAccounts[Include],FALSE),FALSE),SUMIFS(tblAcctSummary[Income_Interest_Base],tblAcctSummary[Account_ID],A203),0))</f>
        <v/>
      </c>
      <c r="H203" s="5">
        <f>IF(A203="","",IF(IFERROR(XLOOKUP(A203,tblAccounts[Account_ID],tblAccounts[Include],FALSE),FALSE),SUMIFS(tblAcctSummary[Income_Dividends_Base],tblAcctSummary[Account_ID],A203),0))</f>
        <v/>
      </c>
      <c r="I203" s="5">
        <f>IF(A203="","",IF(IFERROR(XLOOKUP(A203,tblAccounts[Account_ID],tblAccounts[Include],FALSE),FALSE),SUMIFS(tblAcctSummary[Income_Other_Base],tblAcctSummary[Account_ID],A203),0))</f>
        <v/>
      </c>
      <c r="J203" s="5">
        <f>IF(A203="","",SUM(G203:I203))</f>
        <v/>
      </c>
      <c r="K203" s="5">
        <f>IF(A203="","",IF(IFERROR(XLOOKUP(A203,tblAccounts[Account_ID],tblAccounts[Include],FALSE),FALSE),SUMIFS(tblAcctSummary[Realized_GL_Base],tblAcctSummary[Account_ID],A203),0))</f>
        <v/>
      </c>
      <c r="L203" s="5">
        <f>IF(A203="","",IF(IFERROR(XLOOKUP(A203,tblAccounts[Account_ID],tblAccounts[Include],FALSE),FALSE),SUMIFS(tblAcctSummary[Fees_Base],tblAcctSummary[Account_ID],A203),0))</f>
        <v/>
      </c>
      <c r="M203" s="5">
        <f>IF(A203="","",IF(IFERROR(XLOOKUP(A203,tblAccounts[Account_ID],tblAccounts[Include],FALSE),FALSE),SUMIFS(tblAcctSummary[Taxes_Base],tblAcctSummary[Account_ID],A203),0))</f>
        <v/>
      </c>
      <c r="N203" s="5">
        <f>IF(A203="","",IF(IFERROR(XLOOKUP(A203,tblAccounts[Account_ID],tblAccounts[Include],FALSE),FALSE),IFERROR(SUMPRODUCT(tblAcctSummary[Return_Period],tblAcctSummary[Begin_Balance_Base],--(tblAcctSummary[Account_ID]=A203))/IF(SUMIFS(tblAcctSummary[Begin_Balance_Base],tblAcctSummary[Account_ID],A203)=0,NA(),SUMIFS(tblAcctSummary[Begin_Balance_Base],tblAcctSummary[Account_ID],A203)),0)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12" customWidth="1" min="11" max="11"/>
    <col width="12" customWidth="1" min="12" max="12"/>
    <col width="22" customWidth="1" min="13" max="13"/>
  </cols>
  <sheetData>
    <row r="1">
      <c r="A1" s="6" t="inlineStr">
        <is>
          <t>Household Summary (Aggregated from accepted account outputs)</t>
        </is>
      </c>
    </row>
    <row r="3">
      <c r="A3" s="4" t="inlineStr">
        <is>
          <t>Household_ID</t>
        </is>
      </c>
      <c r="B3" s="4" t="inlineStr">
        <is>
          <t>Household_Name</t>
        </is>
      </c>
      <c r="C3" s="4" t="inlineStr">
        <is>
          <t>Begin_Balance_Base</t>
        </is>
      </c>
      <c r="D3" s="4" t="inlineStr">
        <is>
          <t>End_Balance_Base</t>
        </is>
      </c>
      <c r="E3" s="4" t="inlineStr">
        <is>
          <t>Net_Contrib_Base</t>
        </is>
      </c>
      <c r="F3" s="4" t="inlineStr">
        <is>
          <t>Income_Interest_Base</t>
        </is>
      </c>
      <c r="G3" s="4" t="inlineStr">
        <is>
          <t>Income_Dividends_Base</t>
        </is>
      </c>
      <c r="H3" s="4" t="inlineStr">
        <is>
          <t>Income_Other_Base</t>
        </is>
      </c>
      <c r="I3" s="4" t="inlineStr">
        <is>
          <t>Income_Total_Base</t>
        </is>
      </c>
      <c r="J3" s="4" t="inlineStr">
        <is>
          <t>Realized_GL_Base</t>
        </is>
      </c>
      <c r="K3" s="4" t="inlineStr">
        <is>
          <t>Fees_Base</t>
        </is>
      </c>
      <c r="L3" s="4" t="inlineStr">
        <is>
          <t>Taxes_Base</t>
        </is>
      </c>
      <c r="M3" s="4" t="inlineStr">
        <is>
          <t>Return_Period (Balance-Weighted)</t>
        </is>
      </c>
    </row>
    <row r="4">
      <c r="A4" s="5">
        <f>IFERROR(INDEX(tblHouseholds[Household_ID],1),"")</f>
        <v/>
      </c>
      <c r="B4" s="5">
        <f>IF(A4="","",IFERROR(XLOOKUP(A4,tblHouseholds[Household_ID],tblHouseholds[Household_Name],""),""))</f>
        <v/>
      </c>
      <c r="C4" s="5">
        <f>IF(A4="","",SUMIFS(ACCOUNT_ROLLUP!D:D,ACCOUNT_ROLLUP!C:C,A4))</f>
        <v/>
      </c>
      <c r="D4" s="5">
        <f>IF(A4="","",SUMIFS(ACCOUNT_ROLLUP!E:E,ACCOUNT_ROLLUP!C:C,A4))</f>
        <v/>
      </c>
      <c r="E4" s="5">
        <f>IF(A4="","",SUMIFS(ACCOUNT_ROLLUP!F:F,ACCOUNT_ROLLUP!C:C,A4))</f>
        <v/>
      </c>
      <c r="F4" s="5">
        <f>IF(A4="","",SUMIFS(ACCOUNT_ROLLUP!G:G,ACCOUNT_ROLLUP!C:C,A4))</f>
        <v/>
      </c>
      <c r="G4" s="5">
        <f>IF(A4="","",SUMIFS(ACCOUNT_ROLLUP!H:H,ACCOUNT_ROLLUP!C:C,A4))</f>
        <v/>
      </c>
      <c r="H4" s="5">
        <f>IF(A4="","",SUMIFS(ACCOUNT_ROLLUP!I:I,ACCOUNT_ROLLUP!C:C,A4))</f>
        <v/>
      </c>
      <c r="I4" s="5">
        <f>IF(A4="","",SUM(F4:H4))</f>
        <v/>
      </c>
      <c r="J4" s="5">
        <f>IF(A4="","",SUMIFS(ACCOUNT_ROLLUP!K:K,ACCOUNT_ROLLUP!C:C,A4))</f>
        <v/>
      </c>
      <c r="K4" s="5">
        <f>IF(A4="","",SUMIFS(ACCOUNT_ROLLUP!L:L,ACCOUNT_ROLLUP!C:C,A4))</f>
        <v/>
      </c>
      <c r="L4" s="5">
        <f>IF(A4="","",SUMIFS(ACCOUNT_ROLLUP!M:M,ACCOUNT_ROLLUP!C:C,A4))</f>
        <v/>
      </c>
      <c r="M4" s="5">
        <f>IF(A4="","",IFERROR(SUMPRODUCT(ACCOUNT_ROLLUP!N:N,ACCOUNT_ROLLUP!D:D,--(ACCOUNT_ROLLUP!C:C=A4))/IF(SUMIFS(ACCOUNT_ROLLUP!D:D,ACCOUNT_ROLLUP!C:C,A4)=0,NA(),SUMIFS(ACCOUNT_ROLLUP!D:D,ACCOUNT_ROLLUP!C:C,A4)),0))</f>
        <v/>
      </c>
    </row>
    <row r="5">
      <c r="A5" s="5">
        <f>IFERROR(INDEX(tblHouseholds[Household_ID],2),"")</f>
        <v/>
      </c>
      <c r="B5" s="5">
        <f>IF(A5="","",IFERROR(XLOOKUP(A5,tblHouseholds[Household_ID],tblHouseholds[Household_Name],""),""))</f>
        <v/>
      </c>
      <c r="C5" s="5">
        <f>IF(A5="","",SUMIFS(ACCOUNT_ROLLUP!D:D,ACCOUNT_ROLLUP!C:C,A5))</f>
        <v/>
      </c>
      <c r="D5" s="5">
        <f>IF(A5="","",SUMIFS(ACCOUNT_ROLLUP!E:E,ACCOUNT_ROLLUP!C:C,A5))</f>
        <v/>
      </c>
      <c r="E5" s="5">
        <f>IF(A5="","",SUMIFS(ACCOUNT_ROLLUP!F:F,ACCOUNT_ROLLUP!C:C,A5))</f>
        <v/>
      </c>
      <c r="F5" s="5">
        <f>IF(A5="","",SUMIFS(ACCOUNT_ROLLUP!G:G,ACCOUNT_ROLLUP!C:C,A5))</f>
        <v/>
      </c>
      <c r="G5" s="5">
        <f>IF(A5="","",SUMIFS(ACCOUNT_ROLLUP!H:H,ACCOUNT_ROLLUP!C:C,A5))</f>
        <v/>
      </c>
      <c r="H5" s="5">
        <f>IF(A5="","",SUMIFS(ACCOUNT_ROLLUP!I:I,ACCOUNT_ROLLUP!C:C,A5))</f>
        <v/>
      </c>
      <c r="I5" s="5">
        <f>IF(A5="","",SUM(F5:H5))</f>
        <v/>
      </c>
      <c r="J5" s="5">
        <f>IF(A5="","",SUMIFS(ACCOUNT_ROLLUP!K:K,ACCOUNT_ROLLUP!C:C,A5))</f>
        <v/>
      </c>
      <c r="K5" s="5">
        <f>IF(A5="","",SUMIFS(ACCOUNT_ROLLUP!L:L,ACCOUNT_ROLLUP!C:C,A5))</f>
        <v/>
      </c>
      <c r="L5" s="5">
        <f>IF(A5="","",SUMIFS(ACCOUNT_ROLLUP!M:M,ACCOUNT_ROLLUP!C:C,A5))</f>
        <v/>
      </c>
      <c r="M5" s="5">
        <f>IF(A5="","",IFERROR(SUMPRODUCT(ACCOUNT_ROLLUP!N:N,ACCOUNT_ROLLUP!D:D,--(ACCOUNT_ROLLUP!C:C=A5))/IF(SUMIFS(ACCOUNT_ROLLUP!D:D,ACCOUNT_ROLLUP!C:C,A5)=0,NA(),SUMIFS(ACCOUNT_ROLLUP!D:D,ACCOUNT_ROLLUP!C:C,A5)),0))</f>
        <v/>
      </c>
    </row>
    <row r="6">
      <c r="A6" s="5">
        <f>IFERROR(INDEX(tblHouseholds[Household_ID],3),"")</f>
        <v/>
      </c>
      <c r="B6" s="5">
        <f>IF(A6="","",IFERROR(XLOOKUP(A6,tblHouseholds[Household_ID],tblHouseholds[Household_Name],""),""))</f>
        <v/>
      </c>
      <c r="C6" s="5">
        <f>IF(A6="","",SUMIFS(ACCOUNT_ROLLUP!D:D,ACCOUNT_ROLLUP!C:C,A6))</f>
        <v/>
      </c>
      <c r="D6" s="5">
        <f>IF(A6="","",SUMIFS(ACCOUNT_ROLLUP!E:E,ACCOUNT_ROLLUP!C:C,A6))</f>
        <v/>
      </c>
      <c r="E6" s="5">
        <f>IF(A6="","",SUMIFS(ACCOUNT_ROLLUP!F:F,ACCOUNT_ROLLUP!C:C,A6))</f>
        <v/>
      </c>
      <c r="F6" s="5">
        <f>IF(A6="","",SUMIFS(ACCOUNT_ROLLUP!G:G,ACCOUNT_ROLLUP!C:C,A6))</f>
        <v/>
      </c>
      <c r="G6" s="5">
        <f>IF(A6="","",SUMIFS(ACCOUNT_ROLLUP!H:H,ACCOUNT_ROLLUP!C:C,A6))</f>
        <v/>
      </c>
      <c r="H6" s="5">
        <f>IF(A6="","",SUMIFS(ACCOUNT_ROLLUP!I:I,ACCOUNT_ROLLUP!C:C,A6))</f>
        <v/>
      </c>
      <c r="I6" s="5">
        <f>IF(A6="","",SUM(F6:H6))</f>
        <v/>
      </c>
      <c r="J6" s="5">
        <f>IF(A6="","",SUMIFS(ACCOUNT_ROLLUP!K:K,ACCOUNT_ROLLUP!C:C,A6))</f>
        <v/>
      </c>
      <c r="K6" s="5">
        <f>IF(A6="","",SUMIFS(ACCOUNT_ROLLUP!L:L,ACCOUNT_ROLLUP!C:C,A6))</f>
        <v/>
      </c>
      <c r="L6" s="5">
        <f>IF(A6="","",SUMIFS(ACCOUNT_ROLLUP!M:M,ACCOUNT_ROLLUP!C:C,A6))</f>
        <v/>
      </c>
      <c r="M6" s="5">
        <f>IF(A6="","",IFERROR(SUMPRODUCT(ACCOUNT_ROLLUP!N:N,ACCOUNT_ROLLUP!D:D,--(ACCOUNT_ROLLUP!C:C=A6))/IF(SUMIFS(ACCOUNT_ROLLUP!D:D,ACCOUNT_ROLLUP!C:C,A6)=0,NA(),SUMIFS(ACCOUNT_ROLLUP!D:D,ACCOUNT_ROLLUP!C:C,A6)),0))</f>
        <v/>
      </c>
    </row>
    <row r="7">
      <c r="A7" s="5">
        <f>IFERROR(INDEX(tblHouseholds[Household_ID],4),"")</f>
        <v/>
      </c>
      <c r="B7" s="5">
        <f>IF(A7="","",IFERROR(XLOOKUP(A7,tblHouseholds[Household_ID],tblHouseholds[Household_Name],""),""))</f>
        <v/>
      </c>
      <c r="C7" s="5">
        <f>IF(A7="","",SUMIFS(ACCOUNT_ROLLUP!D:D,ACCOUNT_ROLLUP!C:C,A7))</f>
        <v/>
      </c>
      <c r="D7" s="5">
        <f>IF(A7="","",SUMIFS(ACCOUNT_ROLLUP!E:E,ACCOUNT_ROLLUP!C:C,A7))</f>
        <v/>
      </c>
      <c r="E7" s="5">
        <f>IF(A7="","",SUMIFS(ACCOUNT_ROLLUP!F:F,ACCOUNT_ROLLUP!C:C,A7))</f>
        <v/>
      </c>
      <c r="F7" s="5">
        <f>IF(A7="","",SUMIFS(ACCOUNT_ROLLUP!G:G,ACCOUNT_ROLLUP!C:C,A7))</f>
        <v/>
      </c>
      <c r="G7" s="5">
        <f>IF(A7="","",SUMIFS(ACCOUNT_ROLLUP!H:H,ACCOUNT_ROLLUP!C:C,A7))</f>
        <v/>
      </c>
      <c r="H7" s="5">
        <f>IF(A7="","",SUMIFS(ACCOUNT_ROLLUP!I:I,ACCOUNT_ROLLUP!C:C,A7))</f>
        <v/>
      </c>
      <c r="I7" s="5">
        <f>IF(A7="","",SUM(F7:H7))</f>
        <v/>
      </c>
      <c r="J7" s="5">
        <f>IF(A7="","",SUMIFS(ACCOUNT_ROLLUP!K:K,ACCOUNT_ROLLUP!C:C,A7))</f>
        <v/>
      </c>
      <c r="K7" s="5">
        <f>IF(A7="","",SUMIFS(ACCOUNT_ROLLUP!L:L,ACCOUNT_ROLLUP!C:C,A7))</f>
        <v/>
      </c>
      <c r="L7" s="5">
        <f>IF(A7="","",SUMIFS(ACCOUNT_ROLLUP!M:M,ACCOUNT_ROLLUP!C:C,A7))</f>
        <v/>
      </c>
      <c r="M7" s="5">
        <f>IF(A7="","",IFERROR(SUMPRODUCT(ACCOUNT_ROLLUP!N:N,ACCOUNT_ROLLUP!D:D,--(ACCOUNT_ROLLUP!C:C=A7))/IF(SUMIFS(ACCOUNT_ROLLUP!D:D,ACCOUNT_ROLLUP!C:C,A7)=0,NA(),SUMIFS(ACCOUNT_ROLLUP!D:D,ACCOUNT_ROLLUP!C:C,A7)),0))</f>
        <v/>
      </c>
    </row>
    <row r="8">
      <c r="A8" s="5">
        <f>IFERROR(INDEX(tblHouseholds[Household_ID],5),"")</f>
        <v/>
      </c>
      <c r="B8" s="5">
        <f>IF(A8="","",IFERROR(XLOOKUP(A8,tblHouseholds[Household_ID],tblHouseholds[Household_Name],""),""))</f>
        <v/>
      </c>
      <c r="C8" s="5">
        <f>IF(A8="","",SUMIFS(ACCOUNT_ROLLUP!D:D,ACCOUNT_ROLLUP!C:C,A8))</f>
        <v/>
      </c>
      <c r="D8" s="5">
        <f>IF(A8="","",SUMIFS(ACCOUNT_ROLLUP!E:E,ACCOUNT_ROLLUP!C:C,A8))</f>
        <v/>
      </c>
      <c r="E8" s="5">
        <f>IF(A8="","",SUMIFS(ACCOUNT_ROLLUP!F:F,ACCOUNT_ROLLUP!C:C,A8))</f>
        <v/>
      </c>
      <c r="F8" s="5">
        <f>IF(A8="","",SUMIFS(ACCOUNT_ROLLUP!G:G,ACCOUNT_ROLLUP!C:C,A8))</f>
        <v/>
      </c>
      <c r="G8" s="5">
        <f>IF(A8="","",SUMIFS(ACCOUNT_ROLLUP!H:H,ACCOUNT_ROLLUP!C:C,A8))</f>
        <v/>
      </c>
      <c r="H8" s="5">
        <f>IF(A8="","",SUMIFS(ACCOUNT_ROLLUP!I:I,ACCOUNT_ROLLUP!C:C,A8))</f>
        <v/>
      </c>
      <c r="I8" s="5">
        <f>IF(A8="","",SUM(F8:H8))</f>
        <v/>
      </c>
      <c r="J8" s="5">
        <f>IF(A8="","",SUMIFS(ACCOUNT_ROLLUP!K:K,ACCOUNT_ROLLUP!C:C,A8))</f>
        <v/>
      </c>
      <c r="K8" s="5">
        <f>IF(A8="","",SUMIFS(ACCOUNT_ROLLUP!L:L,ACCOUNT_ROLLUP!C:C,A8))</f>
        <v/>
      </c>
      <c r="L8" s="5">
        <f>IF(A8="","",SUMIFS(ACCOUNT_ROLLUP!M:M,ACCOUNT_ROLLUP!C:C,A8))</f>
        <v/>
      </c>
      <c r="M8" s="5">
        <f>IF(A8="","",IFERROR(SUMPRODUCT(ACCOUNT_ROLLUP!N:N,ACCOUNT_ROLLUP!D:D,--(ACCOUNT_ROLLUP!C:C=A8))/IF(SUMIFS(ACCOUNT_ROLLUP!D:D,ACCOUNT_ROLLUP!C:C,A8)=0,NA(),SUMIFS(ACCOUNT_ROLLUP!D:D,ACCOUNT_ROLLUP!C:C,A8)),0))</f>
        <v/>
      </c>
    </row>
    <row r="9">
      <c r="A9" s="5">
        <f>IFERROR(INDEX(tblHouseholds[Household_ID],6),"")</f>
        <v/>
      </c>
      <c r="B9" s="5">
        <f>IF(A9="","",IFERROR(XLOOKUP(A9,tblHouseholds[Household_ID],tblHouseholds[Household_Name],""),""))</f>
        <v/>
      </c>
      <c r="C9" s="5">
        <f>IF(A9="","",SUMIFS(ACCOUNT_ROLLUP!D:D,ACCOUNT_ROLLUP!C:C,A9))</f>
        <v/>
      </c>
      <c r="D9" s="5">
        <f>IF(A9="","",SUMIFS(ACCOUNT_ROLLUP!E:E,ACCOUNT_ROLLUP!C:C,A9))</f>
        <v/>
      </c>
      <c r="E9" s="5">
        <f>IF(A9="","",SUMIFS(ACCOUNT_ROLLUP!F:F,ACCOUNT_ROLLUP!C:C,A9))</f>
        <v/>
      </c>
      <c r="F9" s="5">
        <f>IF(A9="","",SUMIFS(ACCOUNT_ROLLUP!G:G,ACCOUNT_ROLLUP!C:C,A9))</f>
        <v/>
      </c>
      <c r="G9" s="5">
        <f>IF(A9="","",SUMIFS(ACCOUNT_ROLLUP!H:H,ACCOUNT_ROLLUP!C:C,A9))</f>
        <v/>
      </c>
      <c r="H9" s="5">
        <f>IF(A9="","",SUMIFS(ACCOUNT_ROLLUP!I:I,ACCOUNT_ROLLUP!C:C,A9))</f>
        <v/>
      </c>
      <c r="I9" s="5">
        <f>IF(A9="","",SUM(F9:H9))</f>
        <v/>
      </c>
      <c r="J9" s="5">
        <f>IF(A9="","",SUMIFS(ACCOUNT_ROLLUP!K:K,ACCOUNT_ROLLUP!C:C,A9))</f>
        <v/>
      </c>
      <c r="K9" s="5">
        <f>IF(A9="","",SUMIFS(ACCOUNT_ROLLUP!L:L,ACCOUNT_ROLLUP!C:C,A9))</f>
        <v/>
      </c>
      <c r="L9" s="5">
        <f>IF(A9="","",SUMIFS(ACCOUNT_ROLLUP!M:M,ACCOUNT_ROLLUP!C:C,A9))</f>
        <v/>
      </c>
      <c r="M9" s="5">
        <f>IF(A9="","",IFERROR(SUMPRODUCT(ACCOUNT_ROLLUP!N:N,ACCOUNT_ROLLUP!D:D,--(ACCOUNT_ROLLUP!C:C=A9))/IF(SUMIFS(ACCOUNT_ROLLUP!D:D,ACCOUNT_ROLLUP!C:C,A9)=0,NA(),SUMIFS(ACCOUNT_ROLLUP!D:D,ACCOUNT_ROLLUP!C:C,A9)),0))</f>
        <v/>
      </c>
    </row>
    <row r="10">
      <c r="A10" s="5">
        <f>IFERROR(INDEX(tblHouseholds[Household_ID],7),"")</f>
        <v/>
      </c>
      <c r="B10" s="5">
        <f>IF(A10="","",IFERROR(XLOOKUP(A10,tblHouseholds[Household_ID],tblHouseholds[Household_Name],""),""))</f>
        <v/>
      </c>
      <c r="C10" s="5">
        <f>IF(A10="","",SUMIFS(ACCOUNT_ROLLUP!D:D,ACCOUNT_ROLLUP!C:C,A10))</f>
        <v/>
      </c>
      <c r="D10" s="5">
        <f>IF(A10="","",SUMIFS(ACCOUNT_ROLLUP!E:E,ACCOUNT_ROLLUP!C:C,A10))</f>
        <v/>
      </c>
      <c r="E10" s="5">
        <f>IF(A10="","",SUMIFS(ACCOUNT_ROLLUP!F:F,ACCOUNT_ROLLUP!C:C,A10))</f>
        <v/>
      </c>
      <c r="F10" s="5">
        <f>IF(A10="","",SUMIFS(ACCOUNT_ROLLUP!G:G,ACCOUNT_ROLLUP!C:C,A10))</f>
        <v/>
      </c>
      <c r="G10" s="5">
        <f>IF(A10="","",SUMIFS(ACCOUNT_ROLLUP!H:H,ACCOUNT_ROLLUP!C:C,A10))</f>
        <v/>
      </c>
      <c r="H10" s="5">
        <f>IF(A10="","",SUMIFS(ACCOUNT_ROLLUP!I:I,ACCOUNT_ROLLUP!C:C,A10))</f>
        <v/>
      </c>
      <c r="I10" s="5">
        <f>IF(A10="","",SUM(F10:H10))</f>
        <v/>
      </c>
      <c r="J10" s="5">
        <f>IF(A10="","",SUMIFS(ACCOUNT_ROLLUP!K:K,ACCOUNT_ROLLUP!C:C,A10))</f>
        <v/>
      </c>
      <c r="K10" s="5">
        <f>IF(A10="","",SUMIFS(ACCOUNT_ROLLUP!L:L,ACCOUNT_ROLLUP!C:C,A10))</f>
        <v/>
      </c>
      <c r="L10" s="5">
        <f>IF(A10="","",SUMIFS(ACCOUNT_ROLLUP!M:M,ACCOUNT_ROLLUP!C:C,A10))</f>
        <v/>
      </c>
      <c r="M10" s="5">
        <f>IF(A10="","",IFERROR(SUMPRODUCT(ACCOUNT_ROLLUP!N:N,ACCOUNT_ROLLUP!D:D,--(ACCOUNT_ROLLUP!C:C=A10))/IF(SUMIFS(ACCOUNT_ROLLUP!D:D,ACCOUNT_ROLLUP!C:C,A10)=0,NA(),SUMIFS(ACCOUNT_ROLLUP!D:D,ACCOUNT_ROLLUP!C:C,A10)),0))</f>
        <v/>
      </c>
    </row>
    <row r="11">
      <c r="A11" s="5">
        <f>IFERROR(INDEX(tblHouseholds[Household_ID],8),"")</f>
        <v/>
      </c>
      <c r="B11" s="5">
        <f>IF(A11="","",IFERROR(XLOOKUP(A11,tblHouseholds[Household_ID],tblHouseholds[Household_Name],""),""))</f>
        <v/>
      </c>
      <c r="C11" s="5">
        <f>IF(A11="","",SUMIFS(ACCOUNT_ROLLUP!D:D,ACCOUNT_ROLLUP!C:C,A11))</f>
        <v/>
      </c>
      <c r="D11" s="5">
        <f>IF(A11="","",SUMIFS(ACCOUNT_ROLLUP!E:E,ACCOUNT_ROLLUP!C:C,A11))</f>
        <v/>
      </c>
      <c r="E11" s="5">
        <f>IF(A11="","",SUMIFS(ACCOUNT_ROLLUP!F:F,ACCOUNT_ROLLUP!C:C,A11))</f>
        <v/>
      </c>
      <c r="F11" s="5">
        <f>IF(A11="","",SUMIFS(ACCOUNT_ROLLUP!G:G,ACCOUNT_ROLLUP!C:C,A11))</f>
        <v/>
      </c>
      <c r="G11" s="5">
        <f>IF(A11="","",SUMIFS(ACCOUNT_ROLLUP!H:H,ACCOUNT_ROLLUP!C:C,A11))</f>
        <v/>
      </c>
      <c r="H11" s="5">
        <f>IF(A11="","",SUMIFS(ACCOUNT_ROLLUP!I:I,ACCOUNT_ROLLUP!C:C,A11))</f>
        <v/>
      </c>
      <c r="I11" s="5">
        <f>IF(A11="","",SUM(F11:H11))</f>
        <v/>
      </c>
      <c r="J11" s="5">
        <f>IF(A11="","",SUMIFS(ACCOUNT_ROLLUP!K:K,ACCOUNT_ROLLUP!C:C,A11))</f>
        <v/>
      </c>
      <c r="K11" s="5">
        <f>IF(A11="","",SUMIFS(ACCOUNT_ROLLUP!L:L,ACCOUNT_ROLLUP!C:C,A11))</f>
        <v/>
      </c>
      <c r="L11" s="5">
        <f>IF(A11="","",SUMIFS(ACCOUNT_ROLLUP!M:M,ACCOUNT_ROLLUP!C:C,A11))</f>
        <v/>
      </c>
      <c r="M11" s="5">
        <f>IF(A11="","",IFERROR(SUMPRODUCT(ACCOUNT_ROLLUP!N:N,ACCOUNT_ROLLUP!D:D,--(ACCOUNT_ROLLUP!C:C=A11))/IF(SUMIFS(ACCOUNT_ROLLUP!D:D,ACCOUNT_ROLLUP!C:C,A11)=0,NA(),SUMIFS(ACCOUNT_ROLLUP!D:D,ACCOUNT_ROLLUP!C:C,A11)),0))</f>
        <v/>
      </c>
    </row>
    <row r="12">
      <c r="A12" s="5">
        <f>IFERROR(INDEX(tblHouseholds[Household_ID],9),"")</f>
        <v/>
      </c>
      <c r="B12" s="5">
        <f>IF(A12="","",IFERROR(XLOOKUP(A12,tblHouseholds[Household_ID],tblHouseholds[Household_Name],""),""))</f>
        <v/>
      </c>
      <c r="C12" s="5">
        <f>IF(A12="","",SUMIFS(ACCOUNT_ROLLUP!D:D,ACCOUNT_ROLLUP!C:C,A12))</f>
        <v/>
      </c>
      <c r="D12" s="5">
        <f>IF(A12="","",SUMIFS(ACCOUNT_ROLLUP!E:E,ACCOUNT_ROLLUP!C:C,A12))</f>
        <v/>
      </c>
      <c r="E12" s="5">
        <f>IF(A12="","",SUMIFS(ACCOUNT_ROLLUP!F:F,ACCOUNT_ROLLUP!C:C,A12))</f>
        <v/>
      </c>
      <c r="F12" s="5">
        <f>IF(A12="","",SUMIFS(ACCOUNT_ROLLUP!G:G,ACCOUNT_ROLLUP!C:C,A12))</f>
        <v/>
      </c>
      <c r="G12" s="5">
        <f>IF(A12="","",SUMIFS(ACCOUNT_ROLLUP!H:H,ACCOUNT_ROLLUP!C:C,A12))</f>
        <v/>
      </c>
      <c r="H12" s="5">
        <f>IF(A12="","",SUMIFS(ACCOUNT_ROLLUP!I:I,ACCOUNT_ROLLUP!C:C,A12))</f>
        <v/>
      </c>
      <c r="I12" s="5">
        <f>IF(A12="","",SUM(F12:H12))</f>
        <v/>
      </c>
      <c r="J12" s="5">
        <f>IF(A12="","",SUMIFS(ACCOUNT_ROLLUP!K:K,ACCOUNT_ROLLUP!C:C,A12))</f>
        <v/>
      </c>
      <c r="K12" s="5">
        <f>IF(A12="","",SUMIFS(ACCOUNT_ROLLUP!L:L,ACCOUNT_ROLLUP!C:C,A12))</f>
        <v/>
      </c>
      <c r="L12" s="5">
        <f>IF(A12="","",SUMIFS(ACCOUNT_ROLLUP!M:M,ACCOUNT_ROLLUP!C:C,A12))</f>
        <v/>
      </c>
      <c r="M12" s="5">
        <f>IF(A12="","",IFERROR(SUMPRODUCT(ACCOUNT_ROLLUP!N:N,ACCOUNT_ROLLUP!D:D,--(ACCOUNT_ROLLUP!C:C=A12))/IF(SUMIFS(ACCOUNT_ROLLUP!D:D,ACCOUNT_ROLLUP!C:C,A12)=0,NA(),SUMIFS(ACCOUNT_ROLLUP!D:D,ACCOUNT_ROLLUP!C:C,A12)),0))</f>
        <v/>
      </c>
    </row>
    <row r="13">
      <c r="A13" s="5">
        <f>IFERROR(INDEX(tblHouseholds[Household_ID],10),"")</f>
        <v/>
      </c>
      <c r="B13" s="5">
        <f>IF(A13="","",IFERROR(XLOOKUP(A13,tblHouseholds[Household_ID],tblHouseholds[Household_Name],""),""))</f>
        <v/>
      </c>
      <c r="C13" s="5">
        <f>IF(A13="","",SUMIFS(ACCOUNT_ROLLUP!D:D,ACCOUNT_ROLLUP!C:C,A13))</f>
        <v/>
      </c>
      <c r="D13" s="5">
        <f>IF(A13="","",SUMIFS(ACCOUNT_ROLLUP!E:E,ACCOUNT_ROLLUP!C:C,A13))</f>
        <v/>
      </c>
      <c r="E13" s="5">
        <f>IF(A13="","",SUMIFS(ACCOUNT_ROLLUP!F:F,ACCOUNT_ROLLUP!C:C,A13))</f>
        <v/>
      </c>
      <c r="F13" s="5">
        <f>IF(A13="","",SUMIFS(ACCOUNT_ROLLUP!G:G,ACCOUNT_ROLLUP!C:C,A13))</f>
        <v/>
      </c>
      <c r="G13" s="5">
        <f>IF(A13="","",SUMIFS(ACCOUNT_ROLLUP!H:H,ACCOUNT_ROLLUP!C:C,A13))</f>
        <v/>
      </c>
      <c r="H13" s="5">
        <f>IF(A13="","",SUMIFS(ACCOUNT_ROLLUP!I:I,ACCOUNT_ROLLUP!C:C,A13))</f>
        <v/>
      </c>
      <c r="I13" s="5">
        <f>IF(A13="","",SUM(F13:H13))</f>
        <v/>
      </c>
      <c r="J13" s="5">
        <f>IF(A13="","",SUMIFS(ACCOUNT_ROLLUP!K:K,ACCOUNT_ROLLUP!C:C,A13))</f>
        <v/>
      </c>
      <c r="K13" s="5">
        <f>IF(A13="","",SUMIFS(ACCOUNT_ROLLUP!L:L,ACCOUNT_ROLLUP!C:C,A13))</f>
        <v/>
      </c>
      <c r="L13" s="5">
        <f>IF(A13="","",SUMIFS(ACCOUNT_ROLLUP!M:M,ACCOUNT_ROLLUP!C:C,A13))</f>
        <v/>
      </c>
      <c r="M13" s="5">
        <f>IF(A13="","",IFERROR(SUMPRODUCT(ACCOUNT_ROLLUP!N:N,ACCOUNT_ROLLUP!D:D,--(ACCOUNT_ROLLUP!C:C=A13))/IF(SUMIFS(ACCOUNT_ROLLUP!D:D,ACCOUNT_ROLLUP!C:C,A13)=0,NA(),SUMIFS(ACCOUNT_ROLLUP!D:D,ACCOUNT_ROLLUP!C:C,A13)),0))</f>
        <v/>
      </c>
    </row>
    <row r="14">
      <c r="A14" s="5">
        <f>IFERROR(INDEX(tblHouseholds[Household_ID],11),"")</f>
        <v/>
      </c>
      <c r="B14" s="5">
        <f>IF(A14="","",IFERROR(XLOOKUP(A14,tblHouseholds[Household_ID],tblHouseholds[Household_Name],""),""))</f>
        <v/>
      </c>
      <c r="C14" s="5">
        <f>IF(A14="","",SUMIFS(ACCOUNT_ROLLUP!D:D,ACCOUNT_ROLLUP!C:C,A14))</f>
        <v/>
      </c>
      <c r="D14" s="5">
        <f>IF(A14="","",SUMIFS(ACCOUNT_ROLLUP!E:E,ACCOUNT_ROLLUP!C:C,A14))</f>
        <v/>
      </c>
      <c r="E14" s="5">
        <f>IF(A14="","",SUMIFS(ACCOUNT_ROLLUP!F:F,ACCOUNT_ROLLUP!C:C,A14))</f>
        <v/>
      </c>
      <c r="F14" s="5">
        <f>IF(A14="","",SUMIFS(ACCOUNT_ROLLUP!G:G,ACCOUNT_ROLLUP!C:C,A14))</f>
        <v/>
      </c>
      <c r="G14" s="5">
        <f>IF(A14="","",SUMIFS(ACCOUNT_ROLLUP!H:H,ACCOUNT_ROLLUP!C:C,A14))</f>
        <v/>
      </c>
      <c r="H14" s="5">
        <f>IF(A14="","",SUMIFS(ACCOUNT_ROLLUP!I:I,ACCOUNT_ROLLUP!C:C,A14))</f>
        <v/>
      </c>
      <c r="I14" s="5">
        <f>IF(A14="","",SUM(F14:H14))</f>
        <v/>
      </c>
      <c r="J14" s="5">
        <f>IF(A14="","",SUMIFS(ACCOUNT_ROLLUP!K:K,ACCOUNT_ROLLUP!C:C,A14))</f>
        <v/>
      </c>
      <c r="K14" s="5">
        <f>IF(A14="","",SUMIFS(ACCOUNT_ROLLUP!L:L,ACCOUNT_ROLLUP!C:C,A14))</f>
        <v/>
      </c>
      <c r="L14" s="5">
        <f>IF(A14="","",SUMIFS(ACCOUNT_ROLLUP!M:M,ACCOUNT_ROLLUP!C:C,A14))</f>
        <v/>
      </c>
      <c r="M14" s="5">
        <f>IF(A14="","",IFERROR(SUMPRODUCT(ACCOUNT_ROLLUP!N:N,ACCOUNT_ROLLUP!D:D,--(ACCOUNT_ROLLUP!C:C=A14))/IF(SUMIFS(ACCOUNT_ROLLUP!D:D,ACCOUNT_ROLLUP!C:C,A14)=0,NA(),SUMIFS(ACCOUNT_ROLLUP!D:D,ACCOUNT_ROLLUP!C:C,A14)),0))</f>
        <v/>
      </c>
    </row>
    <row r="15">
      <c r="A15" s="5">
        <f>IFERROR(INDEX(tblHouseholds[Household_ID],12),"")</f>
        <v/>
      </c>
      <c r="B15" s="5">
        <f>IF(A15="","",IFERROR(XLOOKUP(A15,tblHouseholds[Household_ID],tblHouseholds[Household_Name],""),""))</f>
        <v/>
      </c>
      <c r="C15" s="5">
        <f>IF(A15="","",SUMIFS(ACCOUNT_ROLLUP!D:D,ACCOUNT_ROLLUP!C:C,A15))</f>
        <v/>
      </c>
      <c r="D15" s="5">
        <f>IF(A15="","",SUMIFS(ACCOUNT_ROLLUP!E:E,ACCOUNT_ROLLUP!C:C,A15))</f>
        <v/>
      </c>
      <c r="E15" s="5">
        <f>IF(A15="","",SUMIFS(ACCOUNT_ROLLUP!F:F,ACCOUNT_ROLLUP!C:C,A15))</f>
        <v/>
      </c>
      <c r="F15" s="5">
        <f>IF(A15="","",SUMIFS(ACCOUNT_ROLLUP!G:G,ACCOUNT_ROLLUP!C:C,A15))</f>
        <v/>
      </c>
      <c r="G15" s="5">
        <f>IF(A15="","",SUMIFS(ACCOUNT_ROLLUP!H:H,ACCOUNT_ROLLUP!C:C,A15))</f>
        <v/>
      </c>
      <c r="H15" s="5">
        <f>IF(A15="","",SUMIFS(ACCOUNT_ROLLUP!I:I,ACCOUNT_ROLLUP!C:C,A15))</f>
        <v/>
      </c>
      <c r="I15" s="5">
        <f>IF(A15="","",SUM(F15:H15))</f>
        <v/>
      </c>
      <c r="J15" s="5">
        <f>IF(A15="","",SUMIFS(ACCOUNT_ROLLUP!K:K,ACCOUNT_ROLLUP!C:C,A15))</f>
        <v/>
      </c>
      <c r="K15" s="5">
        <f>IF(A15="","",SUMIFS(ACCOUNT_ROLLUP!L:L,ACCOUNT_ROLLUP!C:C,A15))</f>
        <v/>
      </c>
      <c r="L15" s="5">
        <f>IF(A15="","",SUMIFS(ACCOUNT_ROLLUP!M:M,ACCOUNT_ROLLUP!C:C,A15))</f>
        <v/>
      </c>
      <c r="M15" s="5">
        <f>IF(A15="","",IFERROR(SUMPRODUCT(ACCOUNT_ROLLUP!N:N,ACCOUNT_ROLLUP!D:D,--(ACCOUNT_ROLLUP!C:C=A15))/IF(SUMIFS(ACCOUNT_ROLLUP!D:D,ACCOUNT_ROLLUP!C:C,A15)=0,NA(),SUMIFS(ACCOUNT_ROLLUP!D:D,ACCOUNT_ROLLUP!C:C,A15)),0))</f>
        <v/>
      </c>
    </row>
    <row r="16">
      <c r="A16" s="5">
        <f>IFERROR(INDEX(tblHouseholds[Household_ID],13),"")</f>
        <v/>
      </c>
      <c r="B16" s="5">
        <f>IF(A16="","",IFERROR(XLOOKUP(A16,tblHouseholds[Household_ID],tblHouseholds[Household_Name],""),""))</f>
        <v/>
      </c>
      <c r="C16" s="5">
        <f>IF(A16="","",SUMIFS(ACCOUNT_ROLLUP!D:D,ACCOUNT_ROLLUP!C:C,A16))</f>
        <v/>
      </c>
      <c r="D16" s="5">
        <f>IF(A16="","",SUMIFS(ACCOUNT_ROLLUP!E:E,ACCOUNT_ROLLUP!C:C,A16))</f>
        <v/>
      </c>
      <c r="E16" s="5">
        <f>IF(A16="","",SUMIFS(ACCOUNT_ROLLUP!F:F,ACCOUNT_ROLLUP!C:C,A16))</f>
        <v/>
      </c>
      <c r="F16" s="5">
        <f>IF(A16="","",SUMIFS(ACCOUNT_ROLLUP!G:G,ACCOUNT_ROLLUP!C:C,A16))</f>
        <v/>
      </c>
      <c r="G16" s="5">
        <f>IF(A16="","",SUMIFS(ACCOUNT_ROLLUP!H:H,ACCOUNT_ROLLUP!C:C,A16))</f>
        <v/>
      </c>
      <c r="H16" s="5">
        <f>IF(A16="","",SUMIFS(ACCOUNT_ROLLUP!I:I,ACCOUNT_ROLLUP!C:C,A16))</f>
        <v/>
      </c>
      <c r="I16" s="5">
        <f>IF(A16="","",SUM(F16:H16))</f>
        <v/>
      </c>
      <c r="J16" s="5">
        <f>IF(A16="","",SUMIFS(ACCOUNT_ROLLUP!K:K,ACCOUNT_ROLLUP!C:C,A16))</f>
        <v/>
      </c>
      <c r="K16" s="5">
        <f>IF(A16="","",SUMIFS(ACCOUNT_ROLLUP!L:L,ACCOUNT_ROLLUP!C:C,A16))</f>
        <v/>
      </c>
      <c r="L16" s="5">
        <f>IF(A16="","",SUMIFS(ACCOUNT_ROLLUP!M:M,ACCOUNT_ROLLUP!C:C,A16))</f>
        <v/>
      </c>
      <c r="M16" s="5">
        <f>IF(A16="","",IFERROR(SUMPRODUCT(ACCOUNT_ROLLUP!N:N,ACCOUNT_ROLLUP!D:D,--(ACCOUNT_ROLLUP!C:C=A16))/IF(SUMIFS(ACCOUNT_ROLLUP!D:D,ACCOUNT_ROLLUP!C:C,A16)=0,NA(),SUMIFS(ACCOUNT_ROLLUP!D:D,ACCOUNT_ROLLUP!C:C,A16)),0))</f>
        <v/>
      </c>
    </row>
    <row r="17">
      <c r="A17" s="5">
        <f>IFERROR(INDEX(tblHouseholds[Household_ID],14),"")</f>
        <v/>
      </c>
      <c r="B17" s="5">
        <f>IF(A17="","",IFERROR(XLOOKUP(A17,tblHouseholds[Household_ID],tblHouseholds[Household_Name],""),""))</f>
        <v/>
      </c>
      <c r="C17" s="5">
        <f>IF(A17="","",SUMIFS(ACCOUNT_ROLLUP!D:D,ACCOUNT_ROLLUP!C:C,A17))</f>
        <v/>
      </c>
      <c r="D17" s="5">
        <f>IF(A17="","",SUMIFS(ACCOUNT_ROLLUP!E:E,ACCOUNT_ROLLUP!C:C,A17))</f>
        <v/>
      </c>
      <c r="E17" s="5">
        <f>IF(A17="","",SUMIFS(ACCOUNT_ROLLUP!F:F,ACCOUNT_ROLLUP!C:C,A17))</f>
        <v/>
      </c>
      <c r="F17" s="5">
        <f>IF(A17="","",SUMIFS(ACCOUNT_ROLLUP!G:G,ACCOUNT_ROLLUP!C:C,A17))</f>
        <v/>
      </c>
      <c r="G17" s="5">
        <f>IF(A17="","",SUMIFS(ACCOUNT_ROLLUP!H:H,ACCOUNT_ROLLUP!C:C,A17))</f>
        <v/>
      </c>
      <c r="H17" s="5">
        <f>IF(A17="","",SUMIFS(ACCOUNT_ROLLUP!I:I,ACCOUNT_ROLLUP!C:C,A17))</f>
        <v/>
      </c>
      <c r="I17" s="5">
        <f>IF(A17="","",SUM(F17:H17))</f>
        <v/>
      </c>
      <c r="J17" s="5">
        <f>IF(A17="","",SUMIFS(ACCOUNT_ROLLUP!K:K,ACCOUNT_ROLLUP!C:C,A17))</f>
        <v/>
      </c>
      <c r="K17" s="5">
        <f>IF(A17="","",SUMIFS(ACCOUNT_ROLLUP!L:L,ACCOUNT_ROLLUP!C:C,A17))</f>
        <v/>
      </c>
      <c r="L17" s="5">
        <f>IF(A17="","",SUMIFS(ACCOUNT_ROLLUP!M:M,ACCOUNT_ROLLUP!C:C,A17))</f>
        <v/>
      </c>
      <c r="M17" s="5">
        <f>IF(A17="","",IFERROR(SUMPRODUCT(ACCOUNT_ROLLUP!N:N,ACCOUNT_ROLLUP!D:D,--(ACCOUNT_ROLLUP!C:C=A17))/IF(SUMIFS(ACCOUNT_ROLLUP!D:D,ACCOUNT_ROLLUP!C:C,A17)=0,NA(),SUMIFS(ACCOUNT_ROLLUP!D:D,ACCOUNT_ROLLUP!C:C,A17)),0))</f>
        <v/>
      </c>
    </row>
    <row r="18">
      <c r="A18" s="5">
        <f>IFERROR(INDEX(tblHouseholds[Household_ID],15),"")</f>
        <v/>
      </c>
      <c r="B18" s="5">
        <f>IF(A18="","",IFERROR(XLOOKUP(A18,tblHouseholds[Household_ID],tblHouseholds[Household_Name],""),""))</f>
        <v/>
      </c>
      <c r="C18" s="5">
        <f>IF(A18="","",SUMIFS(ACCOUNT_ROLLUP!D:D,ACCOUNT_ROLLUP!C:C,A18))</f>
        <v/>
      </c>
      <c r="D18" s="5">
        <f>IF(A18="","",SUMIFS(ACCOUNT_ROLLUP!E:E,ACCOUNT_ROLLUP!C:C,A18))</f>
        <v/>
      </c>
      <c r="E18" s="5">
        <f>IF(A18="","",SUMIFS(ACCOUNT_ROLLUP!F:F,ACCOUNT_ROLLUP!C:C,A18))</f>
        <v/>
      </c>
      <c r="F18" s="5">
        <f>IF(A18="","",SUMIFS(ACCOUNT_ROLLUP!G:G,ACCOUNT_ROLLUP!C:C,A18))</f>
        <v/>
      </c>
      <c r="G18" s="5">
        <f>IF(A18="","",SUMIFS(ACCOUNT_ROLLUP!H:H,ACCOUNT_ROLLUP!C:C,A18))</f>
        <v/>
      </c>
      <c r="H18" s="5">
        <f>IF(A18="","",SUMIFS(ACCOUNT_ROLLUP!I:I,ACCOUNT_ROLLUP!C:C,A18))</f>
        <v/>
      </c>
      <c r="I18" s="5">
        <f>IF(A18="","",SUM(F18:H18))</f>
        <v/>
      </c>
      <c r="J18" s="5">
        <f>IF(A18="","",SUMIFS(ACCOUNT_ROLLUP!K:K,ACCOUNT_ROLLUP!C:C,A18))</f>
        <v/>
      </c>
      <c r="K18" s="5">
        <f>IF(A18="","",SUMIFS(ACCOUNT_ROLLUP!L:L,ACCOUNT_ROLLUP!C:C,A18))</f>
        <v/>
      </c>
      <c r="L18" s="5">
        <f>IF(A18="","",SUMIFS(ACCOUNT_ROLLUP!M:M,ACCOUNT_ROLLUP!C:C,A18))</f>
        <v/>
      </c>
      <c r="M18" s="5">
        <f>IF(A18="","",IFERROR(SUMPRODUCT(ACCOUNT_ROLLUP!N:N,ACCOUNT_ROLLUP!D:D,--(ACCOUNT_ROLLUP!C:C=A18))/IF(SUMIFS(ACCOUNT_ROLLUP!D:D,ACCOUNT_ROLLUP!C:C,A18)=0,NA(),SUMIFS(ACCOUNT_ROLLUP!D:D,ACCOUNT_ROLLUP!C:C,A18)),0))</f>
        <v/>
      </c>
    </row>
    <row r="19">
      <c r="A19" s="5">
        <f>IFERROR(INDEX(tblHouseholds[Household_ID],16),"")</f>
        <v/>
      </c>
      <c r="B19" s="5">
        <f>IF(A19="","",IFERROR(XLOOKUP(A19,tblHouseholds[Household_ID],tblHouseholds[Household_Name],""),""))</f>
        <v/>
      </c>
      <c r="C19" s="5">
        <f>IF(A19="","",SUMIFS(ACCOUNT_ROLLUP!D:D,ACCOUNT_ROLLUP!C:C,A19))</f>
        <v/>
      </c>
      <c r="D19" s="5">
        <f>IF(A19="","",SUMIFS(ACCOUNT_ROLLUP!E:E,ACCOUNT_ROLLUP!C:C,A19))</f>
        <v/>
      </c>
      <c r="E19" s="5">
        <f>IF(A19="","",SUMIFS(ACCOUNT_ROLLUP!F:F,ACCOUNT_ROLLUP!C:C,A19))</f>
        <v/>
      </c>
      <c r="F19" s="5">
        <f>IF(A19="","",SUMIFS(ACCOUNT_ROLLUP!G:G,ACCOUNT_ROLLUP!C:C,A19))</f>
        <v/>
      </c>
      <c r="G19" s="5">
        <f>IF(A19="","",SUMIFS(ACCOUNT_ROLLUP!H:H,ACCOUNT_ROLLUP!C:C,A19))</f>
        <v/>
      </c>
      <c r="H19" s="5">
        <f>IF(A19="","",SUMIFS(ACCOUNT_ROLLUP!I:I,ACCOUNT_ROLLUP!C:C,A19))</f>
        <v/>
      </c>
      <c r="I19" s="5">
        <f>IF(A19="","",SUM(F19:H19))</f>
        <v/>
      </c>
      <c r="J19" s="5">
        <f>IF(A19="","",SUMIFS(ACCOUNT_ROLLUP!K:K,ACCOUNT_ROLLUP!C:C,A19))</f>
        <v/>
      </c>
      <c r="K19" s="5">
        <f>IF(A19="","",SUMIFS(ACCOUNT_ROLLUP!L:L,ACCOUNT_ROLLUP!C:C,A19))</f>
        <v/>
      </c>
      <c r="L19" s="5">
        <f>IF(A19="","",SUMIFS(ACCOUNT_ROLLUP!M:M,ACCOUNT_ROLLUP!C:C,A19))</f>
        <v/>
      </c>
      <c r="M19" s="5">
        <f>IF(A19="","",IFERROR(SUMPRODUCT(ACCOUNT_ROLLUP!N:N,ACCOUNT_ROLLUP!D:D,--(ACCOUNT_ROLLUP!C:C=A19))/IF(SUMIFS(ACCOUNT_ROLLUP!D:D,ACCOUNT_ROLLUP!C:C,A19)=0,NA(),SUMIFS(ACCOUNT_ROLLUP!D:D,ACCOUNT_ROLLUP!C:C,A19)),0))</f>
        <v/>
      </c>
    </row>
    <row r="20">
      <c r="A20" s="5">
        <f>IFERROR(INDEX(tblHouseholds[Household_ID],17),"")</f>
        <v/>
      </c>
      <c r="B20" s="5">
        <f>IF(A20="","",IFERROR(XLOOKUP(A20,tblHouseholds[Household_ID],tblHouseholds[Household_Name],""),""))</f>
        <v/>
      </c>
      <c r="C20" s="5">
        <f>IF(A20="","",SUMIFS(ACCOUNT_ROLLUP!D:D,ACCOUNT_ROLLUP!C:C,A20))</f>
        <v/>
      </c>
      <c r="D20" s="5">
        <f>IF(A20="","",SUMIFS(ACCOUNT_ROLLUP!E:E,ACCOUNT_ROLLUP!C:C,A20))</f>
        <v/>
      </c>
      <c r="E20" s="5">
        <f>IF(A20="","",SUMIFS(ACCOUNT_ROLLUP!F:F,ACCOUNT_ROLLUP!C:C,A20))</f>
        <v/>
      </c>
      <c r="F20" s="5">
        <f>IF(A20="","",SUMIFS(ACCOUNT_ROLLUP!G:G,ACCOUNT_ROLLUP!C:C,A20))</f>
        <v/>
      </c>
      <c r="G20" s="5">
        <f>IF(A20="","",SUMIFS(ACCOUNT_ROLLUP!H:H,ACCOUNT_ROLLUP!C:C,A20))</f>
        <v/>
      </c>
      <c r="H20" s="5">
        <f>IF(A20="","",SUMIFS(ACCOUNT_ROLLUP!I:I,ACCOUNT_ROLLUP!C:C,A20))</f>
        <v/>
      </c>
      <c r="I20" s="5">
        <f>IF(A20="","",SUM(F20:H20))</f>
        <v/>
      </c>
      <c r="J20" s="5">
        <f>IF(A20="","",SUMIFS(ACCOUNT_ROLLUP!K:K,ACCOUNT_ROLLUP!C:C,A20))</f>
        <v/>
      </c>
      <c r="K20" s="5">
        <f>IF(A20="","",SUMIFS(ACCOUNT_ROLLUP!L:L,ACCOUNT_ROLLUP!C:C,A20))</f>
        <v/>
      </c>
      <c r="L20" s="5">
        <f>IF(A20="","",SUMIFS(ACCOUNT_ROLLUP!M:M,ACCOUNT_ROLLUP!C:C,A20))</f>
        <v/>
      </c>
      <c r="M20" s="5">
        <f>IF(A20="","",IFERROR(SUMPRODUCT(ACCOUNT_ROLLUP!N:N,ACCOUNT_ROLLUP!D:D,--(ACCOUNT_ROLLUP!C:C=A20))/IF(SUMIFS(ACCOUNT_ROLLUP!D:D,ACCOUNT_ROLLUP!C:C,A20)=0,NA(),SUMIFS(ACCOUNT_ROLLUP!D:D,ACCOUNT_ROLLUP!C:C,A20)),0))</f>
        <v/>
      </c>
    </row>
    <row r="21">
      <c r="A21" s="5">
        <f>IFERROR(INDEX(tblHouseholds[Household_ID],18),"")</f>
        <v/>
      </c>
      <c r="B21" s="5">
        <f>IF(A21="","",IFERROR(XLOOKUP(A21,tblHouseholds[Household_ID],tblHouseholds[Household_Name],""),""))</f>
        <v/>
      </c>
      <c r="C21" s="5">
        <f>IF(A21="","",SUMIFS(ACCOUNT_ROLLUP!D:D,ACCOUNT_ROLLUP!C:C,A21))</f>
        <v/>
      </c>
      <c r="D21" s="5">
        <f>IF(A21="","",SUMIFS(ACCOUNT_ROLLUP!E:E,ACCOUNT_ROLLUP!C:C,A21))</f>
        <v/>
      </c>
      <c r="E21" s="5">
        <f>IF(A21="","",SUMIFS(ACCOUNT_ROLLUP!F:F,ACCOUNT_ROLLUP!C:C,A21))</f>
        <v/>
      </c>
      <c r="F21" s="5">
        <f>IF(A21="","",SUMIFS(ACCOUNT_ROLLUP!G:G,ACCOUNT_ROLLUP!C:C,A21))</f>
        <v/>
      </c>
      <c r="G21" s="5">
        <f>IF(A21="","",SUMIFS(ACCOUNT_ROLLUP!H:H,ACCOUNT_ROLLUP!C:C,A21))</f>
        <v/>
      </c>
      <c r="H21" s="5">
        <f>IF(A21="","",SUMIFS(ACCOUNT_ROLLUP!I:I,ACCOUNT_ROLLUP!C:C,A21))</f>
        <v/>
      </c>
      <c r="I21" s="5">
        <f>IF(A21="","",SUM(F21:H21))</f>
        <v/>
      </c>
      <c r="J21" s="5">
        <f>IF(A21="","",SUMIFS(ACCOUNT_ROLLUP!K:K,ACCOUNT_ROLLUP!C:C,A21))</f>
        <v/>
      </c>
      <c r="K21" s="5">
        <f>IF(A21="","",SUMIFS(ACCOUNT_ROLLUP!L:L,ACCOUNT_ROLLUP!C:C,A21))</f>
        <v/>
      </c>
      <c r="L21" s="5">
        <f>IF(A21="","",SUMIFS(ACCOUNT_ROLLUP!M:M,ACCOUNT_ROLLUP!C:C,A21))</f>
        <v/>
      </c>
      <c r="M21" s="5">
        <f>IF(A21="","",IFERROR(SUMPRODUCT(ACCOUNT_ROLLUP!N:N,ACCOUNT_ROLLUP!D:D,--(ACCOUNT_ROLLUP!C:C=A21))/IF(SUMIFS(ACCOUNT_ROLLUP!D:D,ACCOUNT_ROLLUP!C:C,A21)=0,NA(),SUMIFS(ACCOUNT_ROLLUP!D:D,ACCOUNT_ROLLUP!C:C,A21)),0))</f>
        <v/>
      </c>
    </row>
    <row r="22">
      <c r="A22" s="5">
        <f>IFERROR(INDEX(tblHouseholds[Household_ID],19),"")</f>
        <v/>
      </c>
      <c r="B22" s="5">
        <f>IF(A22="","",IFERROR(XLOOKUP(A22,tblHouseholds[Household_ID],tblHouseholds[Household_Name],""),""))</f>
        <v/>
      </c>
      <c r="C22" s="5">
        <f>IF(A22="","",SUMIFS(ACCOUNT_ROLLUP!D:D,ACCOUNT_ROLLUP!C:C,A22))</f>
        <v/>
      </c>
      <c r="D22" s="5">
        <f>IF(A22="","",SUMIFS(ACCOUNT_ROLLUP!E:E,ACCOUNT_ROLLUP!C:C,A22))</f>
        <v/>
      </c>
      <c r="E22" s="5">
        <f>IF(A22="","",SUMIFS(ACCOUNT_ROLLUP!F:F,ACCOUNT_ROLLUP!C:C,A22))</f>
        <v/>
      </c>
      <c r="F22" s="5">
        <f>IF(A22="","",SUMIFS(ACCOUNT_ROLLUP!G:G,ACCOUNT_ROLLUP!C:C,A22))</f>
        <v/>
      </c>
      <c r="G22" s="5">
        <f>IF(A22="","",SUMIFS(ACCOUNT_ROLLUP!H:H,ACCOUNT_ROLLUP!C:C,A22))</f>
        <v/>
      </c>
      <c r="H22" s="5">
        <f>IF(A22="","",SUMIFS(ACCOUNT_ROLLUP!I:I,ACCOUNT_ROLLUP!C:C,A22))</f>
        <v/>
      </c>
      <c r="I22" s="5">
        <f>IF(A22="","",SUM(F22:H22))</f>
        <v/>
      </c>
      <c r="J22" s="5">
        <f>IF(A22="","",SUMIFS(ACCOUNT_ROLLUP!K:K,ACCOUNT_ROLLUP!C:C,A22))</f>
        <v/>
      </c>
      <c r="K22" s="5">
        <f>IF(A22="","",SUMIFS(ACCOUNT_ROLLUP!L:L,ACCOUNT_ROLLUP!C:C,A22))</f>
        <v/>
      </c>
      <c r="L22" s="5">
        <f>IF(A22="","",SUMIFS(ACCOUNT_ROLLUP!M:M,ACCOUNT_ROLLUP!C:C,A22))</f>
        <v/>
      </c>
      <c r="M22" s="5">
        <f>IF(A22="","",IFERROR(SUMPRODUCT(ACCOUNT_ROLLUP!N:N,ACCOUNT_ROLLUP!D:D,--(ACCOUNT_ROLLUP!C:C=A22))/IF(SUMIFS(ACCOUNT_ROLLUP!D:D,ACCOUNT_ROLLUP!C:C,A22)=0,NA(),SUMIFS(ACCOUNT_ROLLUP!D:D,ACCOUNT_ROLLUP!C:C,A22)),0))</f>
        <v/>
      </c>
    </row>
    <row r="23">
      <c r="A23" s="5">
        <f>IFERROR(INDEX(tblHouseholds[Household_ID],20),"")</f>
        <v/>
      </c>
      <c r="B23" s="5">
        <f>IF(A23="","",IFERROR(XLOOKUP(A23,tblHouseholds[Household_ID],tblHouseholds[Household_Name],""),""))</f>
        <v/>
      </c>
      <c r="C23" s="5">
        <f>IF(A23="","",SUMIFS(ACCOUNT_ROLLUP!D:D,ACCOUNT_ROLLUP!C:C,A23))</f>
        <v/>
      </c>
      <c r="D23" s="5">
        <f>IF(A23="","",SUMIFS(ACCOUNT_ROLLUP!E:E,ACCOUNT_ROLLUP!C:C,A23))</f>
        <v/>
      </c>
      <c r="E23" s="5">
        <f>IF(A23="","",SUMIFS(ACCOUNT_ROLLUP!F:F,ACCOUNT_ROLLUP!C:C,A23))</f>
        <v/>
      </c>
      <c r="F23" s="5">
        <f>IF(A23="","",SUMIFS(ACCOUNT_ROLLUP!G:G,ACCOUNT_ROLLUP!C:C,A23))</f>
        <v/>
      </c>
      <c r="G23" s="5">
        <f>IF(A23="","",SUMIFS(ACCOUNT_ROLLUP!H:H,ACCOUNT_ROLLUP!C:C,A23))</f>
        <v/>
      </c>
      <c r="H23" s="5">
        <f>IF(A23="","",SUMIFS(ACCOUNT_ROLLUP!I:I,ACCOUNT_ROLLUP!C:C,A23))</f>
        <v/>
      </c>
      <c r="I23" s="5">
        <f>IF(A23="","",SUM(F23:H23))</f>
        <v/>
      </c>
      <c r="J23" s="5">
        <f>IF(A23="","",SUMIFS(ACCOUNT_ROLLUP!K:K,ACCOUNT_ROLLUP!C:C,A23))</f>
        <v/>
      </c>
      <c r="K23" s="5">
        <f>IF(A23="","",SUMIFS(ACCOUNT_ROLLUP!L:L,ACCOUNT_ROLLUP!C:C,A23))</f>
        <v/>
      </c>
      <c r="L23" s="5">
        <f>IF(A23="","",SUMIFS(ACCOUNT_ROLLUP!M:M,ACCOUNT_ROLLUP!C:C,A23))</f>
        <v/>
      </c>
      <c r="M23" s="5">
        <f>IF(A23="","",IFERROR(SUMPRODUCT(ACCOUNT_ROLLUP!N:N,ACCOUNT_ROLLUP!D:D,--(ACCOUNT_ROLLUP!C:C=A23))/IF(SUMIFS(ACCOUNT_ROLLUP!D:D,ACCOUNT_ROLLUP!C:C,A23)=0,NA(),SUMIFS(ACCOUNT_ROLLUP!D:D,ACCOUNT_ROLLUP!C:C,A23)),0))</f>
        <v/>
      </c>
    </row>
    <row r="24">
      <c r="A24" s="5">
        <f>IFERROR(INDEX(tblHouseholds[Household_ID],21),"")</f>
        <v/>
      </c>
      <c r="B24" s="5">
        <f>IF(A24="","",IFERROR(XLOOKUP(A24,tblHouseholds[Household_ID],tblHouseholds[Household_Name],""),""))</f>
        <v/>
      </c>
      <c r="C24" s="5">
        <f>IF(A24="","",SUMIFS(ACCOUNT_ROLLUP!D:D,ACCOUNT_ROLLUP!C:C,A24))</f>
        <v/>
      </c>
      <c r="D24" s="5">
        <f>IF(A24="","",SUMIFS(ACCOUNT_ROLLUP!E:E,ACCOUNT_ROLLUP!C:C,A24))</f>
        <v/>
      </c>
      <c r="E24" s="5">
        <f>IF(A24="","",SUMIFS(ACCOUNT_ROLLUP!F:F,ACCOUNT_ROLLUP!C:C,A24))</f>
        <v/>
      </c>
      <c r="F24" s="5">
        <f>IF(A24="","",SUMIFS(ACCOUNT_ROLLUP!G:G,ACCOUNT_ROLLUP!C:C,A24))</f>
        <v/>
      </c>
      <c r="G24" s="5">
        <f>IF(A24="","",SUMIFS(ACCOUNT_ROLLUP!H:H,ACCOUNT_ROLLUP!C:C,A24))</f>
        <v/>
      </c>
      <c r="H24" s="5">
        <f>IF(A24="","",SUMIFS(ACCOUNT_ROLLUP!I:I,ACCOUNT_ROLLUP!C:C,A24))</f>
        <v/>
      </c>
      <c r="I24" s="5">
        <f>IF(A24="","",SUM(F24:H24))</f>
        <v/>
      </c>
      <c r="J24" s="5">
        <f>IF(A24="","",SUMIFS(ACCOUNT_ROLLUP!K:K,ACCOUNT_ROLLUP!C:C,A24))</f>
        <v/>
      </c>
      <c r="K24" s="5">
        <f>IF(A24="","",SUMIFS(ACCOUNT_ROLLUP!L:L,ACCOUNT_ROLLUP!C:C,A24))</f>
        <v/>
      </c>
      <c r="L24" s="5">
        <f>IF(A24="","",SUMIFS(ACCOUNT_ROLLUP!M:M,ACCOUNT_ROLLUP!C:C,A24))</f>
        <v/>
      </c>
      <c r="M24" s="5">
        <f>IF(A24="","",IFERROR(SUMPRODUCT(ACCOUNT_ROLLUP!N:N,ACCOUNT_ROLLUP!D:D,--(ACCOUNT_ROLLUP!C:C=A24))/IF(SUMIFS(ACCOUNT_ROLLUP!D:D,ACCOUNT_ROLLUP!C:C,A24)=0,NA(),SUMIFS(ACCOUNT_ROLLUP!D:D,ACCOUNT_ROLLUP!C:C,A24)),0))</f>
        <v/>
      </c>
    </row>
    <row r="25">
      <c r="A25" s="5">
        <f>IFERROR(INDEX(tblHouseholds[Household_ID],22),"")</f>
        <v/>
      </c>
      <c r="B25" s="5">
        <f>IF(A25="","",IFERROR(XLOOKUP(A25,tblHouseholds[Household_ID],tblHouseholds[Household_Name],""),""))</f>
        <v/>
      </c>
      <c r="C25" s="5">
        <f>IF(A25="","",SUMIFS(ACCOUNT_ROLLUP!D:D,ACCOUNT_ROLLUP!C:C,A25))</f>
        <v/>
      </c>
      <c r="D25" s="5">
        <f>IF(A25="","",SUMIFS(ACCOUNT_ROLLUP!E:E,ACCOUNT_ROLLUP!C:C,A25))</f>
        <v/>
      </c>
      <c r="E25" s="5">
        <f>IF(A25="","",SUMIFS(ACCOUNT_ROLLUP!F:F,ACCOUNT_ROLLUP!C:C,A25))</f>
        <v/>
      </c>
      <c r="F25" s="5">
        <f>IF(A25="","",SUMIFS(ACCOUNT_ROLLUP!G:G,ACCOUNT_ROLLUP!C:C,A25))</f>
        <v/>
      </c>
      <c r="G25" s="5">
        <f>IF(A25="","",SUMIFS(ACCOUNT_ROLLUP!H:H,ACCOUNT_ROLLUP!C:C,A25))</f>
        <v/>
      </c>
      <c r="H25" s="5">
        <f>IF(A25="","",SUMIFS(ACCOUNT_ROLLUP!I:I,ACCOUNT_ROLLUP!C:C,A25))</f>
        <v/>
      </c>
      <c r="I25" s="5">
        <f>IF(A25="","",SUM(F25:H25))</f>
        <v/>
      </c>
      <c r="J25" s="5">
        <f>IF(A25="","",SUMIFS(ACCOUNT_ROLLUP!K:K,ACCOUNT_ROLLUP!C:C,A25))</f>
        <v/>
      </c>
      <c r="K25" s="5">
        <f>IF(A25="","",SUMIFS(ACCOUNT_ROLLUP!L:L,ACCOUNT_ROLLUP!C:C,A25))</f>
        <v/>
      </c>
      <c r="L25" s="5">
        <f>IF(A25="","",SUMIFS(ACCOUNT_ROLLUP!M:M,ACCOUNT_ROLLUP!C:C,A25))</f>
        <v/>
      </c>
      <c r="M25" s="5">
        <f>IF(A25="","",IFERROR(SUMPRODUCT(ACCOUNT_ROLLUP!N:N,ACCOUNT_ROLLUP!D:D,--(ACCOUNT_ROLLUP!C:C=A25))/IF(SUMIFS(ACCOUNT_ROLLUP!D:D,ACCOUNT_ROLLUP!C:C,A25)=0,NA(),SUMIFS(ACCOUNT_ROLLUP!D:D,ACCOUNT_ROLLUP!C:C,A25)),0))</f>
        <v/>
      </c>
    </row>
    <row r="26">
      <c r="A26" s="5">
        <f>IFERROR(INDEX(tblHouseholds[Household_ID],23),"")</f>
        <v/>
      </c>
      <c r="B26" s="5">
        <f>IF(A26="","",IFERROR(XLOOKUP(A26,tblHouseholds[Household_ID],tblHouseholds[Household_Name],""),""))</f>
        <v/>
      </c>
      <c r="C26" s="5">
        <f>IF(A26="","",SUMIFS(ACCOUNT_ROLLUP!D:D,ACCOUNT_ROLLUP!C:C,A26))</f>
        <v/>
      </c>
      <c r="D26" s="5">
        <f>IF(A26="","",SUMIFS(ACCOUNT_ROLLUP!E:E,ACCOUNT_ROLLUP!C:C,A26))</f>
        <v/>
      </c>
      <c r="E26" s="5">
        <f>IF(A26="","",SUMIFS(ACCOUNT_ROLLUP!F:F,ACCOUNT_ROLLUP!C:C,A26))</f>
        <v/>
      </c>
      <c r="F26" s="5">
        <f>IF(A26="","",SUMIFS(ACCOUNT_ROLLUP!G:G,ACCOUNT_ROLLUP!C:C,A26))</f>
        <v/>
      </c>
      <c r="G26" s="5">
        <f>IF(A26="","",SUMIFS(ACCOUNT_ROLLUP!H:H,ACCOUNT_ROLLUP!C:C,A26))</f>
        <v/>
      </c>
      <c r="H26" s="5">
        <f>IF(A26="","",SUMIFS(ACCOUNT_ROLLUP!I:I,ACCOUNT_ROLLUP!C:C,A26))</f>
        <v/>
      </c>
      <c r="I26" s="5">
        <f>IF(A26="","",SUM(F26:H26))</f>
        <v/>
      </c>
      <c r="J26" s="5">
        <f>IF(A26="","",SUMIFS(ACCOUNT_ROLLUP!K:K,ACCOUNT_ROLLUP!C:C,A26))</f>
        <v/>
      </c>
      <c r="K26" s="5">
        <f>IF(A26="","",SUMIFS(ACCOUNT_ROLLUP!L:L,ACCOUNT_ROLLUP!C:C,A26))</f>
        <v/>
      </c>
      <c r="L26" s="5">
        <f>IF(A26="","",SUMIFS(ACCOUNT_ROLLUP!M:M,ACCOUNT_ROLLUP!C:C,A26))</f>
        <v/>
      </c>
      <c r="M26" s="5">
        <f>IF(A26="","",IFERROR(SUMPRODUCT(ACCOUNT_ROLLUP!N:N,ACCOUNT_ROLLUP!D:D,--(ACCOUNT_ROLLUP!C:C=A26))/IF(SUMIFS(ACCOUNT_ROLLUP!D:D,ACCOUNT_ROLLUP!C:C,A26)=0,NA(),SUMIFS(ACCOUNT_ROLLUP!D:D,ACCOUNT_ROLLUP!C:C,A26)),0))</f>
        <v/>
      </c>
    </row>
    <row r="27">
      <c r="A27" s="5">
        <f>IFERROR(INDEX(tblHouseholds[Household_ID],24),"")</f>
        <v/>
      </c>
      <c r="B27" s="5">
        <f>IF(A27="","",IFERROR(XLOOKUP(A27,tblHouseholds[Household_ID],tblHouseholds[Household_Name],""),""))</f>
        <v/>
      </c>
      <c r="C27" s="5">
        <f>IF(A27="","",SUMIFS(ACCOUNT_ROLLUP!D:D,ACCOUNT_ROLLUP!C:C,A27))</f>
        <v/>
      </c>
      <c r="D27" s="5">
        <f>IF(A27="","",SUMIFS(ACCOUNT_ROLLUP!E:E,ACCOUNT_ROLLUP!C:C,A27))</f>
        <v/>
      </c>
      <c r="E27" s="5">
        <f>IF(A27="","",SUMIFS(ACCOUNT_ROLLUP!F:F,ACCOUNT_ROLLUP!C:C,A27))</f>
        <v/>
      </c>
      <c r="F27" s="5">
        <f>IF(A27="","",SUMIFS(ACCOUNT_ROLLUP!G:G,ACCOUNT_ROLLUP!C:C,A27))</f>
        <v/>
      </c>
      <c r="G27" s="5">
        <f>IF(A27="","",SUMIFS(ACCOUNT_ROLLUP!H:H,ACCOUNT_ROLLUP!C:C,A27))</f>
        <v/>
      </c>
      <c r="H27" s="5">
        <f>IF(A27="","",SUMIFS(ACCOUNT_ROLLUP!I:I,ACCOUNT_ROLLUP!C:C,A27))</f>
        <v/>
      </c>
      <c r="I27" s="5">
        <f>IF(A27="","",SUM(F27:H27))</f>
        <v/>
      </c>
      <c r="J27" s="5">
        <f>IF(A27="","",SUMIFS(ACCOUNT_ROLLUP!K:K,ACCOUNT_ROLLUP!C:C,A27))</f>
        <v/>
      </c>
      <c r="K27" s="5">
        <f>IF(A27="","",SUMIFS(ACCOUNT_ROLLUP!L:L,ACCOUNT_ROLLUP!C:C,A27))</f>
        <v/>
      </c>
      <c r="L27" s="5">
        <f>IF(A27="","",SUMIFS(ACCOUNT_ROLLUP!M:M,ACCOUNT_ROLLUP!C:C,A27))</f>
        <v/>
      </c>
      <c r="M27" s="5">
        <f>IF(A27="","",IFERROR(SUMPRODUCT(ACCOUNT_ROLLUP!N:N,ACCOUNT_ROLLUP!D:D,--(ACCOUNT_ROLLUP!C:C=A27))/IF(SUMIFS(ACCOUNT_ROLLUP!D:D,ACCOUNT_ROLLUP!C:C,A27)=0,NA(),SUMIFS(ACCOUNT_ROLLUP!D:D,ACCOUNT_ROLLUP!C:C,A27)),0))</f>
        <v/>
      </c>
    </row>
    <row r="28">
      <c r="A28" s="5">
        <f>IFERROR(INDEX(tblHouseholds[Household_ID],25),"")</f>
        <v/>
      </c>
      <c r="B28" s="5">
        <f>IF(A28="","",IFERROR(XLOOKUP(A28,tblHouseholds[Household_ID],tblHouseholds[Household_Name],""),""))</f>
        <v/>
      </c>
      <c r="C28" s="5">
        <f>IF(A28="","",SUMIFS(ACCOUNT_ROLLUP!D:D,ACCOUNT_ROLLUP!C:C,A28))</f>
        <v/>
      </c>
      <c r="D28" s="5">
        <f>IF(A28="","",SUMIFS(ACCOUNT_ROLLUP!E:E,ACCOUNT_ROLLUP!C:C,A28))</f>
        <v/>
      </c>
      <c r="E28" s="5">
        <f>IF(A28="","",SUMIFS(ACCOUNT_ROLLUP!F:F,ACCOUNT_ROLLUP!C:C,A28))</f>
        <v/>
      </c>
      <c r="F28" s="5">
        <f>IF(A28="","",SUMIFS(ACCOUNT_ROLLUP!G:G,ACCOUNT_ROLLUP!C:C,A28))</f>
        <v/>
      </c>
      <c r="G28" s="5">
        <f>IF(A28="","",SUMIFS(ACCOUNT_ROLLUP!H:H,ACCOUNT_ROLLUP!C:C,A28))</f>
        <v/>
      </c>
      <c r="H28" s="5">
        <f>IF(A28="","",SUMIFS(ACCOUNT_ROLLUP!I:I,ACCOUNT_ROLLUP!C:C,A28))</f>
        <v/>
      </c>
      <c r="I28" s="5">
        <f>IF(A28="","",SUM(F28:H28))</f>
        <v/>
      </c>
      <c r="J28" s="5">
        <f>IF(A28="","",SUMIFS(ACCOUNT_ROLLUP!K:K,ACCOUNT_ROLLUP!C:C,A28))</f>
        <v/>
      </c>
      <c r="K28" s="5">
        <f>IF(A28="","",SUMIFS(ACCOUNT_ROLLUP!L:L,ACCOUNT_ROLLUP!C:C,A28))</f>
        <v/>
      </c>
      <c r="L28" s="5">
        <f>IF(A28="","",SUMIFS(ACCOUNT_ROLLUP!M:M,ACCOUNT_ROLLUP!C:C,A28))</f>
        <v/>
      </c>
      <c r="M28" s="5">
        <f>IF(A28="","",IFERROR(SUMPRODUCT(ACCOUNT_ROLLUP!N:N,ACCOUNT_ROLLUP!D:D,--(ACCOUNT_ROLLUP!C:C=A28))/IF(SUMIFS(ACCOUNT_ROLLUP!D:D,ACCOUNT_ROLLUP!C:C,A28)=0,NA(),SUMIFS(ACCOUNT_ROLLUP!D:D,ACCOUNT_ROLLUP!C:C,A28)),0))</f>
        <v/>
      </c>
    </row>
    <row r="29">
      <c r="A29" s="5">
        <f>IFERROR(INDEX(tblHouseholds[Household_ID],26),"")</f>
        <v/>
      </c>
      <c r="B29" s="5">
        <f>IF(A29="","",IFERROR(XLOOKUP(A29,tblHouseholds[Household_ID],tblHouseholds[Household_Name],""),""))</f>
        <v/>
      </c>
      <c r="C29" s="5">
        <f>IF(A29="","",SUMIFS(ACCOUNT_ROLLUP!D:D,ACCOUNT_ROLLUP!C:C,A29))</f>
        <v/>
      </c>
      <c r="D29" s="5">
        <f>IF(A29="","",SUMIFS(ACCOUNT_ROLLUP!E:E,ACCOUNT_ROLLUP!C:C,A29))</f>
        <v/>
      </c>
      <c r="E29" s="5">
        <f>IF(A29="","",SUMIFS(ACCOUNT_ROLLUP!F:F,ACCOUNT_ROLLUP!C:C,A29))</f>
        <v/>
      </c>
      <c r="F29" s="5">
        <f>IF(A29="","",SUMIFS(ACCOUNT_ROLLUP!G:G,ACCOUNT_ROLLUP!C:C,A29))</f>
        <v/>
      </c>
      <c r="G29" s="5">
        <f>IF(A29="","",SUMIFS(ACCOUNT_ROLLUP!H:H,ACCOUNT_ROLLUP!C:C,A29))</f>
        <v/>
      </c>
      <c r="H29" s="5">
        <f>IF(A29="","",SUMIFS(ACCOUNT_ROLLUP!I:I,ACCOUNT_ROLLUP!C:C,A29))</f>
        <v/>
      </c>
      <c r="I29" s="5">
        <f>IF(A29="","",SUM(F29:H29))</f>
        <v/>
      </c>
      <c r="J29" s="5">
        <f>IF(A29="","",SUMIFS(ACCOUNT_ROLLUP!K:K,ACCOUNT_ROLLUP!C:C,A29))</f>
        <v/>
      </c>
      <c r="K29" s="5">
        <f>IF(A29="","",SUMIFS(ACCOUNT_ROLLUP!L:L,ACCOUNT_ROLLUP!C:C,A29))</f>
        <v/>
      </c>
      <c r="L29" s="5">
        <f>IF(A29="","",SUMIFS(ACCOUNT_ROLLUP!M:M,ACCOUNT_ROLLUP!C:C,A29))</f>
        <v/>
      </c>
      <c r="M29" s="5">
        <f>IF(A29="","",IFERROR(SUMPRODUCT(ACCOUNT_ROLLUP!N:N,ACCOUNT_ROLLUP!D:D,--(ACCOUNT_ROLLUP!C:C=A29))/IF(SUMIFS(ACCOUNT_ROLLUP!D:D,ACCOUNT_ROLLUP!C:C,A29)=0,NA(),SUMIFS(ACCOUNT_ROLLUP!D:D,ACCOUNT_ROLLUP!C:C,A29)),0))</f>
        <v/>
      </c>
    </row>
    <row r="30">
      <c r="A30" s="5">
        <f>IFERROR(INDEX(tblHouseholds[Household_ID],27),"")</f>
        <v/>
      </c>
      <c r="B30" s="5">
        <f>IF(A30="","",IFERROR(XLOOKUP(A30,tblHouseholds[Household_ID],tblHouseholds[Household_Name],""),""))</f>
        <v/>
      </c>
      <c r="C30" s="5">
        <f>IF(A30="","",SUMIFS(ACCOUNT_ROLLUP!D:D,ACCOUNT_ROLLUP!C:C,A30))</f>
        <v/>
      </c>
      <c r="D30" s="5">
        <f>IF(A30="","",SUMIFS(ACCOUNT_ROLLUP!E:E,ACCOUNT_ROLLUP!C:C,A30))</f>
        <v/>
      </c>
      <c r="E30" s="5">
        <f>IF(A30="","",SUMIFS(ACCOUNT_ROLLUP!F:F,ACCOUNT_ROLLUP!C:C,A30))</f>
        <v/>
      </c>
      <c r="F30" s="5">
        <f>IF(A30="","",SUMIFS(ACCOUNT_ROLLUP!G:G,ACCOUNT_ROLLUP!C:C,A30))</f>
        <v/>
      </c>
      <c r="G30" s="5">
        <f>IF(A30="","",SUMIFS(ACCOUNT_ROLLUP!H:H,ACCOUNT_ROLLUP!C:C,A30))</f>
        <v/>
      </c>
      <c r="H30" s="5">
        <f>IF(A30="","",SUMIFS(ACCOUNT_ROLLUP!I:I,ACCOUNT_ROLLUP!C:C,A30))</f>
        <v/>
      </c>
      <c r="I30" s="5">
        <f>IF(A30="","",SUM(F30:H30))</f>
        <v/>
      </c>
      <c r="J30" s="5">
        <f>IF(A30="","",SUMIFS(ACCOUNT_ROLLUP!K:K,ACCOUNT_ROLLUP!C:C,A30))</f>
        <v/>
      </c>
      <c r="K30" s="5">
        <f>IF(A30="","",SUMIFS(ACCOUNT_ROLLUP!L:L,ACCOUNT_ROLLUP!C:C,A30))</f>
        <v/>
      </c>
      <c r="L30" s="5">
        <f>IF(A30="","",SUMIFS(ACCOUNT_ROLLUP!M:M,ACCOUNT_ROLLUP!C:C,A30))</f>
        <v/>
      </c>
      <c r="M30" s="5">
        <f>IF(A30="","",IFERROR(SUMPRODUCT(ACCOUNT_ROLLUP!N:N,ACCOUNT_ROLLUP!D:D,--(ACCOUNT_ROLLUP!C:C=A30))/IF(SUMIFS(ACCOUNT_ROLLUP!D:D,ACCOUNT_ROLLUP!C:C,A30)=0,NA(),SUMIFS(ACCOUNT_ROLLUP!D:D,ACCOUNT_ROLLUP!C:C,A30)),0))</f>
        <v/>
      </c>
    </row>
    <row r="31">
      <c r="A31" s="5">
        <f>IFERROR(INDEX(tblHouseholds[Household_ID],28),"")</f>
        <v/>
      </c>
      <c r="B31" s="5">
        <f>IF(A31="","",IFERROR(XLOOKUP(A31,tblHouseholds[Household_ID],tblHouseholds[Household_Name],""),""))</f>
        <v/>
      </c>
      <c r="C31" s="5">
        <f>IF(A31="","",SUMIFS(ACCOUNT_ROLLUP!D:D,ACCOUNT_ROLLUP!C:C,A31))</f>
        <v/>
      </c>
      <c r="D31" s="5">
        <f>IF(A31="","",SUMIFS(ACCOUNT_ROLLUP!E:E,ACCOUNT_ROLLUP!C:C,A31))</f>
        <v/>
      </c>
      <c r="E31" s="5">
        <f>IF(A31="","",SUMIFS(ACCOUNT_ROLLUP!F:F,ACCOUNT_ROLLUP!C:C,A31))</f>
        <v/>
      </c>
      <c r="F31" s="5">
        <f>IF(A31="","",SUMIFS(ACCOUNT_ROLLUP!G:G,ACCOUNT_ROLLUP!C:C,A31))</f>
        <v/>
      </c>
      <c r="G31" s="5">
        <f>IF(A31="","",SUMIFS(ACCOUNT_ROLLUP!H:H,ACCOUNT_ROLLUP!C:C,A31))</f>
        <v/>
      </c>
      <c r="H31" s="5">
        <f>IF(A31="","",SUMIFS(ACCOUNT_ROLLUP!I:I,ACCOUNT_ROLLUP!C:C,A31))</f>
        <v/>
      </c>
      <c r="I31" s="5">
        <f>IF(A31="","",SUM(F31:H31))</f>
        <v/>
      </c>
      <c r="J31" s="5">
        <f>IF(A31="","",SUMIFS(ACCOUNT_ROLLUP!K:K,ACCOUNT_ROLLUP!C:C,A31))</f>
        <v/>
      </c>
      <c r="K31" s="5">
        <f>IF(A31="","",SUMIFS(ACCOUNT_ROLLUP!L:L,ACCOUNT_ROLLUP!C:C,A31))</f>
        <v/>
      </c>
      <c r="L31" s="5">
        <f>IF(A31="","",SUMIFS(ACCOUNT_ROLLUP!M:M,ACCOUNT_ROLLUP!C:C,A31))</f>
        <v/>
      </c>
      <c r="M31" s="5">
        <f>IF(A31="","",IFERROR(SUMPRODUCT(ACCOUNT_ROLLUP!N:N,ACCOUNT_ROLLUP!D:D,--(ACCOUNT_ROLLUP!C:C=A31))/IF(SUMIFS(ACCOUNT_ROLLUP!D:D,ACCOUNT_ROLLUP!C:C,A31)=0,NA(),SUMIFS(ACCOUNT_ROLLUP!D:D,ACCOUNT_ROLLUP!C:C,A31)),0))</f>
        <v/>
      </c>
    </row>
    <row r="32">
      <c r="A32" s="5">
        <f>IFERROR(INDEX(tblHouseholds[Household_ID],29),"")</f>
        <v/>
      </c>
      <c r="B32" s="5">
        <f>IF(A32="","",IFERROR(XLOOKUP(A32,tblHouseholds[Household_ID],tblHouseholds[Household_Name],""),""))</f>
        <v/>
      </c>
      <c r="C32" s="5">
        <f>IF(A32="","",SUMIFS(ACCOUNT_ROLLUP!D:D,ACCOUNT_ROLLUP!C:C,A32))</f>
        <v/>
      </c>
      <c r="D32" s="5">
        <f>IF(A32="","",SUMIFS(ACCOUNT_ROLLUP!E:E,ACCOUNT_ROLLUP!C:C,A32))</f>
        <v/>
      </c>
      <c r="E32" s="5">
        <f>IF(A32="","",SUMIFS(ACCOUNT_ROLLUP!F:F,ACCOUNT_ROLLUP!C:C,A32))</f>
        <v/>
      </c>
      <c r="F32" s="5">
        <f>IF(A32="","",SUMIFS(ACCOUNT_ROLLUP!G:G,ACCOUNT_ROLLUP!C:C,A32))</f>
        <v/>
      </c>
      <c r="G32" s="5">
        <f>IF(A32="","",SUMIFS(ACCOUNT_ROLLUP!H:H,ACCOUNT_ROLLUP!C:C,A32))</f>
        <v/>
      </c>
      <c r="H32" s="5">
        <f>IF(A32="","",SUMIFS(ACCOUNT_ROLLUP!I:I,ACCOUNT_ROLLUP!C:C,A32))</f>
        <v/>
      </c>
      <c r="I32" s="5">
        <f>IF(A32="","",SUM(F32:H32))</f>
        <v/>
      </c>
      <c r="J32" s="5">
        <f>IF(A32="","",SUMIFS(ACCOUNT_ROLLUP!K:K,ACCOUNT_ROLLUP!C:C,A32))</f>
        <v/>
      </c>
      <c r="K32" s="5">
        <f>IF(A32="","",SUMIFS(ACCOUNT_ROLLUP!L:L,ACCOUNT_ROLLUP!C:C,A32))</f>
        <v/>
      </c>
      <c r="L32" s="5">
        <f>IF(A32="","",SUMIFS(ACCOUNT_ROLLUP!M:M,ACCOUNT_ROLLUP!C:C,A32))</f>
        <v/>
      </c>
      <c r="M32" s="5">
        <f>IF(A32="","",IFERROR(SUMPRODUCT(ACCOUNT_ROLLUP!N:N,ACCOUNT_ROLLUP!D:D,--(ACCOUNT_ROLLUP!C:C=A32))/IF(SUMIFS(ACCOUNT_ROLLUP!D:D,ACCOUNT_ROLLUP!C:C,A32)=0,NA(),SUMIFS(ACCOUNT_ROLLUP!D:D,ACCOUNT_ROLLUP!C:C,A32)),0))</f>
        <v/>
      </c>
    </row>
    <row r="33">
      <c r="A33" s="5">
        <f>IFERROR(INDEX(tblHouseholds[Household_ID],30),"")</f>
        <v/>
      </c>
      <c r="B33" s="5">
        <f>IF(A33="","",IFERROR(XLOOKUP(A33,tblHouseholds[Household_ID],tblHouseholds[Household_Name],""),""))</f>
        <v/>
      </c>
      <c r="C33" s="5">
        <f>IF(A33="","",SUMIFS(ACCOUNT_ROLLUP!D:D,ACCOUNT_ROLLUP!C:C,A33))</f>
        <v/>
      </c>
      <c r="D33" s="5">
        <f>IF(A33="","",SUMIFS(ACCOUNT_ROLLUP!E:E,ACCOUNT_ROLLUP!C:C,A33))</f>
        <v/>
      </c>
      <c r="E33" s="5">
        <f>IF(A33="","",SUMIFS(ACCOUNT_ROLLUP!F:F,ACCOUNT_ROLLUP!C:C,A33))</f>
        <v/>
      </c>
      <c r="F33" s="5">
        <f>IF(A33="","",SUMIFS(ACCOUNT_ROLLUP!G:G,ACCOUNT_ROLLUP!C:C,A33))</f>
        <v/>
      </c>
      <c r="G33" s="5">
        <f>IF(A33="","",SUMIFS(ACCOUNT_ROLLUP!H:H,ACCOUNT_ROLLUP!C:C,A33))</f>
        <v/>
      </c>
      <c r="H33" s="5">
        <f>IF(A33="","",SUMIFS(ACCOUNT_ROLLUP!I:I,ACCOUNT_ROLLUP!C:C,A33))</f>
        <v/>
      </c>
      <c r="I33" s="5">
        <f>IF(A33="","",SUM(F33:H33))</f>
        <v/>
      </c>
      <c r="J33" s="5">
        <f>IF(A33="","",SUMIFS(ACCOUNT_ROLLUP!K:K,ACCOUNT_ROLLUP!C:C,A33))</f>
        <v/>
      </c>
      <c r="K33" s="5">
        <f>IF(A33="","",SUMIFS(ACCOUNT_ROLLUP!L:L,ACCOUNT_ROLLUP!C:C,A33))</f>
        <v/>
      </c>
      <c r="L33" s="5">
        <f>IF(A33="","",SUMIFS(ACCOUNT_ROLLUP!M:M,ACCOUNT_ROLLUP!C:C,A33))</f>
        <v/>
      </c>
      <c r="M33" s="5">
        <f>IF(A33="","",IFERROR(SUMPRODUCT(ACCOUNT_ROLLUP!N:N,ACCOUNT_ROLLUP!D:D,--(ACCOUNT_ROLLUP!C:C=A33))/IF(SUMIFS(ACCOUNT_ROLLUP!D:D,ACCOUNT_ROLLUP!C:C,A33)=0,NA(),SUMIFS(ACCOUNT_ROLLUP!D:D,ACCOUNT_ROLLUP!C:C,A33)),0))</f>
        <v/>
      </c>
    </row>
    <row r="34">
      <c r="A34" s="5">
        <f>IFERROR(INDEX(tblHouseholds[Household_ID],31),"")</f>
        <v/>
      </c>
      <c r="B34" s="5">
        <f>IF(A34="","",IFERROR(XLOOKUP(A34,tblHouseholds[Household_ID],tblHouseholds[Household_Name],""),""))</f>
        <v/>
      </c>
      <c r="C34" s="5">
        <f>IF(A34="","",SUMIFS(ACCOUNT_ROLLUP!D:D,ACCOUNT_ROLLUP!C:C,A34))</f>
        <v/>
      </c>
      <c r="D34" s="5">
        <f>IF(A34="","",SUMIFS(ACCOUNT_ROLLUP!E:E,ACCOUNT_ROLLUP!C:C,A34))</f>
        <v/>
      </c>
      <c r="E34" s="5">
        <f>IF(A34="","",SUMIFS(ACCOUNT_ROLLUP!F:F,ACCOUNT_ROLLUP!C:C,A34))</f>
        <v/>
      </c>
      <c r="F34" s="5">
        <f>IF(A34="","",SUMIFS(ACCOUNT_ROLLUP!G:G,ACCOUNT_ROLLUP!C:C,A34))</f>
        <v/>
      </c>
      <c r="G34" s="5">
        <f>IF(A34="","",SUMIFS(ACCOUNT_ROLLUP!H:H,ACCOUNT_ROLLUP!C:C,A34))</f>
        <v/>
      </c>
      <c r="H34" s="5">
        <f>IF(A34="","",SUMIFS(ACCOUNT_ROLLUP!I:I,ACCOUNT_ROLLUP!C:C,A34))</f>
        <v/>
      </c>
      <c r="I34" s="5">
        <f>IF(A34="","",SUM(F34:H34))</f>
        <v/>
      </c>
      <c r="J34" s="5">
        <f>IF(A34="","",SUMIFS(ACCOUNT_ROLLUP!K:K,ACCOUNT_ROLLUP!C:C,A34))</f>
        <v/>
      </c>
      <c r="K34" s="5">
        <f>IF(A34="","",SUMIFS(ACCOUNT_ROLLUP!L:L,ACCOUNT_ROLLUP!C:C,A34))</f>
        <v/>
      </c>
      <c r="L34" s="5">
        <f>IF(A34="","",SUMIFS(ACCOUNT_ROLLUP!M:M,ACCOUNT_ROLLUP!C:C,A34))</f>
        <v/>
      </c>
      <c r="M34" s="5">
        <f>IF(A34="","",IFERROR(SUMPRODUCT(ACCOUNT_ROLLUP!N:N,ACCOUNT_ROLLUP!D:D,--(ACCOUNT_ROLLUP!C:C=A34))/IF(SUMIFS(ACCOUNT_ROLLUP!D:D,ACCOUNT_ROLLUP!C:C,A34)=0,NA(),SUMIFS(ACCOUNT_ROLLUP!D:D,ACCOUNT_ROLLUP!C:C,A34)),0))</f>
        <v/>
      </c>
    </row>
    <row r="35">
      <c r="A35" s="5">
        <f>IFERROR(INDEX(tblHouseholds[Household_ID],32),"")</f>
        <v/>
      </c>
      <c r="B35" s="5">
        <f>IF(A35="","",IFERROR(XLOOKUP(A35,tblHouseholds[Household_ID],tblHouseholds[Household_Name],""),""))</f>
        <v/>
      </c>
      <c r="C35" s="5">
        <f>IF(A35="","",SUMIFS(ACCOUNT_ROLLUP!D:D,ACCOUNT_ROLLUP!C:C,A35))</f>
        <v/>
      </c>
      <c r="D35" s="5">
        <f>IF(A35="","",SUMIFS(ACCOUNT_ROLLUP!E:E,ACCOUNT_ROLLUP!C:C,A35))</f>
        <v/>
      </c>
      <c r="E35" s="5">
        <f>IF(A35="","",SUMIFS(ACCOUNT_ROLLUP!F:F,ACCOUNT_ROLLUP!C:C,A35))</f>
        <v/>
      </c>
      <c r="F35" s="5">
        <f>IF(A35="","",SUMIFS(ACCOUNT_ROLLUP!G:G,ACCOUNT_ROLLUP!C:C,A35))</f>
        <v/>
      </c>
      <c r="G35" s="5">
        <f>IF(A35="","",SUMIFS(ACCOUNT_ROLLUP!H:H,ACCOUNT_ROLLUP!C:C,A35))</f>
        <v/>
      </c>
      <c r="H35" s="5">
        <f>IF(A35="","",SUMIFS(ACCOUNT_ROLLUP!I:I,ACCOUNT_ROLLUP!C:C,A35))</f>
        <v/>
      </c>
      <c r="I35" s="5">
        <f>IF(A35="","",SUM(F35:H35))</f>
        <v/>
      </c>
      <c r="J35" s="5">
        <f>IF(A35="","",SUMIFS(ACCOUNT_ROLLUP!K:K,ACCOUNT_ROLLUP!C:C,A35))</f>
        <v/>
      </c>
      <c r="K35" s="5">
        <f>IF(A35="","",SUMIFS(ACCOUNT_ROLLUP!L:L,ACCOUNT_ROLLUP!C:C,A35))</f>
        <v/>
      </c>
      <c r="L35" s="5">
        <f>IF(A35="","",SUMIFS(ACCOUNT_ROLLUP!M:M,ACCOUNT_ROLLUP!C:C,A35))</f>
        <v/>
      </c>
      <c r="M35" s="5">
        <f>IF(A35="","",IFERROR(SUMPRODUCT(ACCOUNT_ROLLUP!N:N,ACCOUNT_ROLLUP!D:D,--(ACCOUNT_ROLLUP!C:C=A35))/IF(SUMIFS(ACCOUNT_ROLLUP!D:D,ACCOUNT_ROLLUP!C:C,A35)=0,NA(),SUMIFS(ACCOUNT_ROLLUP!D:D,ACCOUNT_ROLLUP!C:C,A35)),0))</f>
        <v/>
      </c>
    </row>
    <row r="36">
      <c r="A36" s="5">
        <f>IFERROR(INDEX(tblHouseholds[Household_ID],33),"")</f>
        <v/>
      </c>
      <c r="B36" s="5">
        <f>IF(A36="","",IFERROR(XLOOKUP(A36,tblHouseholds[Household_ID],tblHouseholds[Household_Name],""),""))</f>
        <v/>
      </c>
      <c r="C36" s="5">
        <f>IF(A36="","",SUMIFS(ACCOUNT_ROLLUP!D:D,ACCOUNT_ROLLUP!C:C,A36))</f>
        <v/>
      </c>
      <c r="D36" s="5">
        <f>IF(A36="","",SUMIFS(ACCOUNT_ROLLUP!E:E,ACCOUNT_ROLLUP!C:C,A36))</f>
        <v/>
      </c>
      <c r="E36" s="5">
        <f>IF(A36="","",SUMIFS(ACCOUNT_ROLLUP!F:F,ACCOUNT_ROLLUP!C:C,A36))</f>
        <v/>
      </c>
      <c r="F36" s="5">
        <f>IF(A36="","",SUMIFS(ACCOUNT_ROLLUP!G:G,ACCOUNT_ROLLUP!C:C,A36))</f>
        <v/>
      </c>
      <c r="G36" s="5">
        <f>IF(A36="","",SUMIFS(ACCOUNT_ROLLUP!H:H,ACCOUNT_ROLLUP!C:C,A36))</f>
        <v/>
      </c>
      <c r="H36" s="5">
        <f>IF(A36="","",SUMIFS(ACCOUNT_ROLLUP!I:I,ACCOUNT_ROLLUP!C:C,A36))</f>
        <v/>
      </c>
      <c r="I36" s="5">
        <f>IF(A36="","",SUM(F36:H36))</f>
        <v/>
      </c>
      <c r="J36" s="5">
        <f>IF(A36="","",SUMIFS(ACCOUNT_ROLLUP!K:K,ACCOUNT_ROLLUP!C:C,A36))</f>
        <v/>
      </c>
      <c r="K36" s="5">
        <f>IF(A36="","",SUMIFS(ACCOUNT_ROLLUP!L:L,ACCOUNT_ROLLUP!C:C,A36))</f>
        <v/>
      </c>
      <c r="L36" s="5">
        <f>IF(A36="","",SUMIFS(ACCOUNT_ROLLUP!M:M,ACCOUNT_ROLLUP!C:C,A36))</f>
        <v/>
      </c>
      <c r="M36" s="5">
        <f>IF(A36="","",IFERROR(SUMPRODUCT(ACCOUNT_ROLLUP!N:N,ACCOUNT_ROLLUP!D:D,--(ACCOUNT_ROLLUP!C:C=A36))/IF(SUMIFS(ACCOUNT_ROLLUP!D:D,ACCOUNT_ROLLUP!C:C,A36)=0,NA(),SUMIFS(ACCOUNT_ROLLUP!D:D,ACCOUNT_ROLLUP!C:C,A36)),0))</f>
        <v/>
      </c>
    </row>
    <row r="37">
      <c r="A37" s="5">
        <f>IFERROR(INDEX(tblHouseholds[Household_ID],34),"")</f>
        <v/>
      </c>
      <c r="B37" s="5">
        <f>IF(A37="","",IFERROR(XLOOKUP(A37,tblHouseholds[Household_ID],tblHouseholds[Household_Name],""),""))</f>
        <v/>
      </c>
      <c r="C37" s="5">
        <f>IF(A37="","",SUMIFS(ACCOUNT_ROLLUP!D:D,ACCOUNT_ROLLUP!C:C,A37))</f>
        <v/>
      </c>
      <c r="D37" s="5">
        <f>IF(A37="","",SUMIFS(ACCOUNT_ROLLUP!E:E,ACCOUNT_ROLLUP!C:C,A37))</f>
        <v/>
      </c>
      <c r="E37" s="5">
        <f>IF(A37="","",SUMIFS(ACCOUNT_ROLLUP!F:F,ACCOUNT_ROLLUP!C:C,A37))</f>
        <v/>
      </c>
      <c r="F37" s="5">
        <f>IF(A37="","",SUMIFS(ACCOUNT_ROLLUP!G:G,ACCOUNT_ROLLUP!C:C,A37))</f>
        <v/>
      </c>
      <c r="G37" s="5">
        <f>IF(A37="","",SUMIFS(ACCOUNT_ROLLUP!H:H,ACCOUNT_ROLLUP!C:C,A37))</f>
        <v/>
      </c>
      <c r="H37" s="5">
        <f>IF(A37="","",SUMIFS(ACCOUNT_ROLLUP!I:I,ACCOUNT_ROLLUP!C:C,A37))</f>
        <v/>
      </c>
      <c r="I37" s="5">
        <f>IF(A37="","",SUM(F37:H37))</f>
        <v/>
      </c>
      <c r="J37" s="5">
        <f>IF(A37="","",SUMIFS(ACCOUNT_ROLLUP!K:K,ACCOUNT_ROLLUP!C:C,A37))</f>
        <v/>
      </c>
      <c r="K37" s="5">
        <f>IF(A37="","",SUMIFS(ACCOUNT_ROLLUP!L:L,ACCOUNT_ROLLUP!C:C,A37))</f>
        <v/>
      </c>
      <c r="L37" s="5">
        <f>IF(A37="","",SUMIFS(ACCOUNT_ROLLUP!M:M,ACCOUNT_ROLLUP!C:C,A37))</f>
        <v/>
      </c>
      <c r="M37" s="5">
        <f>IF(A37="","",IFERROR(SUMPRODUCT(ACCOUNT_ROLLUP!N:N,ACCOUNT_ROLLUP!D:D,--(ACCOUNT_ROLLUP!C:C=A37))/IF(SUMIFS(ACCOUNT_ROLLUP!D:D,ACCOUNT_ROLLUP!C:C,A37)=0,NA(),SUMIFS(ACCOUNT_ROLLUP!D:D,ACCOUNT_ROLLUP!C:C,A37)),0))</f>
        <v/>
      </c>
    </row>
    <row r="38">
      <c r="A38" s="5">
        <f>IFERROR(INDEX(tblHouseholds[Household_ID],35),"")</f>
        <v/>
      </c>
      <c r="B38" s="5">
        <f>IF(A38="","",IFERROR(XLOOKUP(A38,tblHouseholds[Household_ID],tblHouseholds[Household_Name],""),""))</f>
        <v/>
      </c>
      <c r="C38" s="5">
        <f>IF(A38="","",SUMIFS(ACCOUNT_ROLLUP!D:D,ACCOUNT_ROLLUP!C:C,A38))</f>
        <v/>
      </c>
      <c r="D38" s="5">
        <f>IF(A38="","",SUMIFS(ACCOUNT_ROLLUP!E:E,ACCOUNT_ROLLUP!C:C,A38))</f>
        <v/>
      </c>
      <c r="E38" s="5">
        <f>IF(A38="","",SUMIFS(ACCOUNT_ROLLUP!F:F,ACCOUNT_ROLLUP!C:C,A38))</f>
        <v/>
      </c>
      <c r="F38" s="5">
        <f>IF(A38="","",SUMIFS(ACCOUNT_ROLLUP!G:G,ACCOUNT_ROLLUP!C:C,A38))</f>
        <v/>
      </c>
      <c r="G38" s="5">
        <f>IF(A38="","",SUMIFS(ACCOUNT_ROLLUP!H:H,ACCOUNT_ROLLUP!C:C,A38))</f>
        <v/>
      </c>
      <c r="H38" s="5">
        <f>IF(A38="","",SUMIFS(ACCOUNT_ROLLUP!I:I,ACCOUNT_ROLLUP!C:C,A38))</f>
        <v/>
      </c>
      <c r="I38" s="5">
        <f>IF(A38="","",SUM(F38:H38))</f>
        <v/>
      </c>
      <c r="J38" s="5">
        <f>IF(A38="","",SUMIFS(ACCOUNT_ROLLUP!K:K,ACCOUNT_ROLLUP!C:C,A38))</f>
        <v/>
      </c>
      <c r="K38" s="5">
        <f>IF(A38="","",SUMIFS(ACCOUNT_ROLLUP!L:L,ACCOUNT_ROLLUP!C:C,A38))</f>
        <v/>
      </c>
      <c r="L38" s="5">
        <f>IF(A38="","",SUMIFS(ACCOUNT_ROLLUP!M:M,ACCOUNT_ROLLUP!C:C,A38))</f>
        <v/>
      </c>
      <c r="M38" s="5">
        <f>IF(A38="","",IFERROR(SUMPRODUCT(ACCOUNT_ROLLUP!N:N,ACCOUNT_ROLLUP!D:D,--(ACCOUNT_ROLLUP!C:C=A38))/IF(SUMIFS(ACCOUNT_ROLLUP!D:D,ACCOUNT_ROLLUP!C:C,A38)=0,NA(),SUMIFS(ACCOUNT_ROLLUP!D:D,ACCOUNT_ROLLUP!C:C,A38)),0))</f>
        <v/>
      </c>
    </row>
    <row r="39">
      <c r="A39" s="5">
        <f>IFERROR(INDEX(tblHouseholds[Household_ID],36),"")</f>
        <v/>
      </c>
      <c r="B39" s="5">
        <f>IF(A39="","",IFERROR(XLOOKUP(A39,tblHouseholds[Household_ID],tblHouseholds[Household_Name],""),""))</f>
        <v/>
      </c>
      <c r="C39" s="5">
        <f>IF(A39="","",SUMIFS(ACCOUNT_ROLLUP!D:D,ACCOUNT_ROLLUP!C:C,A39))</f>
        <v/>
      </c>
      <c r="D39" s="5">
        <f>IF(A39="","",SUMIFS(ACCOUNT_ROLLUP!E:E,ACCOUNT_ROLLUP!C:C,A39))</f>
        <v/>
      </c>
      <c r="E39" s="5">
        <f>IF(A39="","",SUMIFS(ACCOUNT_ROLLUP!F:F,ACCOUNT_ROLLUP!C:C,A39))</f>
        <v/>
      </c>
      <c r="F39" s="5">
        <f>IF(A39="","",SUMIFS(ACCOUNT_ROLLUP!G:G,ACCOUNT_ROLLUP!C:C,A39))</f>
        <v/>
      </c>
      <c r="G39" s="5">
        <f>IF(A39="","",SUMIFS(ACCOUNT_ROLLUP!H:H,ACCOUNT_ROLLUP!C:C,A39))</f>
        <v/>
      </c>
      <c r="H39" s="5">
        <f>IF(A39="","",SUMIFS(ACCOUNT_ROLLUP!I:I,ACCOUNT_ROLLUP!C:C,A39))</f>
        <v/>
      </c>
      <c r="I39" s="5">
        <f>IF(A39="","",SUM(F39:H39))</f>
        <v/>
      </c>
      <c r="J39" s="5">
        <f>IF(A39="","",SUMIFS(ACCOUNT_ROLLUP!K:K,ACCOUNT_ROLLUP!C:C,A39))</f>
        <v/>
      </c>
      <c r="K39" s="5">
        <f>IF(A39="","",SUMIFS(ACCOUNT_ROLLUP!L:L,ACCOUNT_ROLLUP!C:C,A39))</f>
        <v/>
      </c>
      <c r="L39" s="5">
        <f>IF(A39="","",SUMIFS(ACCOUNT_ROLLUP!M:M,ACCOUNT_ROLLUP!C:C,A39))</f>
        <v/>
      </c>
      <c r="M39" s="5">
        <f>IF(A39="","",IFERROR(SUMPRODUCT(ACCOUNT_ROLLUP!N:N,ACCOUNT_ROLLUP!D:D,--(ACCOUNT_ROLLUP!C:C=A39))/IF(SUMIFS(ACCOUNT_ROLLUP!D:D,ACCOUNT_ROLLUP!C:C,A39)=0,NA(),SUMIFS(ACCOUNT_ROLLUP!D:D,ACCOUNT_ROLLUP!C:C,A39)),0))</f>
        <v/>
      </c>
    </row>
    <row r="40">
      <c r="A40" s="5">
        <f>IFERROR(INDEX(tblHouseholds[Household_ID],37),"")</f>
        <v/>
      </c>
      <c r="B40" s="5">
        <f>IF(A40="","",IFERROR(XLOOKUP(A40,tblHouseholds[Household_ID],tblHouseholds[Household_Name],""),""))</f>
        <v/>
      </c>
      <c r="C40" s="5">
        <f>IF(A40="","",SUMIFS(ACCOUNT_ROLLUP!D:D,ACCOUNT_ROLLUP!C:C,A40))</f>
        <v/>
      </c>
      <c r="D40" s="5">
        <f>IF(A40="","",SUMIFS(ACCOUNT_ROLLUP!E:E,ACCOUNT_ROLLUP!C:C,A40))</f>
        <v/>
      </c>
      <c r="E40" s="5">
        <f>IF(A40="","",SUMIFS(ACCOUNT_ROLLUP!F:F,ACCOUNT_ROLLUP!C:C,A40))</f>
        <v/>
      </c>
      <c r="F40" s="5">
        <f>IF(A40="","",SUMIFS(ACCOUNT_ROLLUP!G:G,ACCOUNT_ROLLUP!C:C,A40))</f>
        <v/>
      </c>
      <c r="G40" s="5">
        <f>IF(A40="","",SUMIFS(ACCOUNT_ROLLUP!H:H,ACCOUNT_ROLLUP!C:C,A40))</f>
        <v/>
      </c>
      <c r="H40" s="5">
        <f>IF(A40="","",SUMIFS(ACCOUNT_ROLLUP!I:I,ACCOUNT_ROLLUP!C:C,A40))</f>
        <v/>
      </c>
      <c r="I40" s="5">
        <f>IF(A40="","",SUM(F40:H40))</f>
        <v/>
      </c>
      <c r="J40" s="5">
        <f>IF(A40="","",SUMIFS(ACCOUNT_ROLLUP!K:K,ACCOUNT_ROLLUP!C:C,A40))</f>
        <v/>
      </c>
      <c r="K40" s="5">
        <f>IF(A40="","",SUMIFS(ACCOUNT_ROLLUP!L:L,ACCOUNT_ROLLUP!C:C,A40))</f>
        <v/>
      </c>
      <c r="L40" s="5">
        <f>IF(A40="","",SUMIFS(ACCOUNT_ROLLUP!M:M,ACCOUNT_ROLLUP!C:C,A40))</f>
        <v/>
      </c>
      <c r="M40" s="5">
        <f>IF(A40="","",IFERROR(SUMPRODUCT(ACCOUNT_ROLLUP!N:N,ACCOUNT_ROLLUP!D:D,--(ACCOUNT_ROLLUP!C:C=A40))/IF(SUMIFS(ACCOUNT_ROLLUP!D:D,ACCOUNT_ROLLUP!C:C,A40)=0,NA(),SUMIFS(ACCOUNT_ROLLUP!D:D,ACCOUNT_ROLLUP!C:C,A40)),0))</f>
        <v/>
      </c>
    </row>
    <row r="41">
      <c r="A41" s="5">
        <f>IFERROR(INDEX(tblHouseholds[Household_ID],38),"")</f>
        <v/>
      </c>
      <c r="B41" s="5">
        <f>IF(A41="","",IFERROR(XLOOKUP(A41,tblHouseholds[Household_ID],tblHouseholds[Household_Name],""),""))</f>
        <v/>
      </c>
      <c r="C41" s="5">
        <f>IF(A41="","",SUMIFS(ACCOUNT_ROLLUP!D:D,ACCOUNT_ROLLUP!C:C,A41))</f>
        <v/>
      </c>
      <c r="D41" s="5">
        <f>IF(A41="","",SUMIFS(ACCOUNT_ROLLUP!E:E,ACCOUNT_ROLLUP!C:C,A41))</f>
        <v/>
      </c>
      <c r="E41" s="5">
        <f>IF(A41="","",SUMIFS(ACCOUNT_ROLLUP!F:F,ACCOUNT_ROLLUP!C:C,A41))</f>
        <v/>
      </c>
      <c r="F41" s="5">
        <f>IF(A41="","",SUMIFS(ACCOUNT_ROLLUP!G:G,ACCOUNT_ROLLUP!C:C,A41))</f>
        <v/>
      </c>
      <c r="G41" s="5">
        <f>IF(A41="","",SUMIFS(ACCOUNT_ROLLUP!H:H,ACCOUNT_ROLLUP!C:C,A41))</f>
        <v/>
      </c>
      <c r="H41" s="5">
        <f>IF(A41="","",SUMIFS(ACCOUNT_ROLLUP!I:I,ACCOUNT_ROLLUP!C:C,A41))</f>
        <v/>
      </c>
      <c r="I41" s="5">
        <f>IF(A41="","",SUM(F41:H41))</f>
        <v/>
      </c>
      <c r="J41" s="5">
        <f>IF(A41="","",SUMIFS(ACCOUNT_ROLLUP!K:K,ACCOUNT_ROLLUP!C:C,A41))</f>
        <v/>
      </c>
      <c r="K41" s="5">
        <f>IF(A41="","",SUMIFS(ACCOUNT_ROLLUP!L:L,ACCOUNT_ROLLUP!C:C,A41))</f>
        <v/>
      </c>
      <c r="L41" s="5">
        <f>IF(A41="","",SUMIFS(ACCOUNT_ROLLUP!M:M,ACCOUNT_ROLLUP!C:C,A41))</f>
        <v/>
      </c>
      <c r="M41" s="5">
        <f>IF(A41="","",IFERROR(SUMPRODUCT(ACCOUNT_ROLLUP!N:N,ACCOUNT_ROLLUP!D:D,--(ACCOUNT_ROLLUP!C:C=A41))/IF(SUMIFS(ACCOUNT_ROLLUP!D:D,ACCOUNT_ROLLUP!C:C,A41)=0,NA(),SUMIFS(ACCOUNT_ROLLUP!D:D,ACCOUNT_ROLLUP!C:C,A41)),0))</f>
        <v/>
      </c>
    </row>
    <row r="42">
      <c r="A42" s="5">
        <f>IFERROR(INDEX(tblHouseholds[Household_ID],39),"")</f>
        <v/>
      </c>
      <c r="B42" s="5">
        <f>IF(A42="","",IFERROR(XLOOKUP(A42,tblHouseholds[Household_ID],tblHouseholds[Household_Name],""),""))</f>
        <v/>
      </c>
      <c r="C42" s="5">
        <f>IF(A42="","",SUMIFS(ACCOUNT_ROLLUP!D:D,ACCOUNT_ROLLUP!C:C,A42))</f>
        <v/>
      </c>
      <c r="D42" s="5">
        <f>IF(A42="","",SUMIFS(ACCOUNT_ROLLUP!E:E,ACCOUNT_ROLLUP!C:C,A42))</f>
        <v/>
      </c>
      <c r="E42" s="5">
        <f>IF(A42="","",SUMIFS(ACCOUNT_ROLLUP!F:F,ACCOUNT_ROLLUP!C:C,A42))</f>
        <v/>
      </c>
      <c r="F42" s="5">
        <f>IF(A42="","",SUMIFS(ACCOUNT_ROLLUP!G:G,ACCOUNT_ROLLUP!C:C,A42))</f>
        <v/>
      </c>
      <c r="G42" s="5">
        <f>IF(A42="","",SUMIFS(ACCOUNT_ROLLUP!H:H,ACCOUNT_ROLLUP!C:C,A42))</f>
        <v/>
      </c>
      <c r="H42" s="5">
        <f>IF(A42="","",SUMIFS(ACCOUNT_ROLLUP!I:I,ACCOUNT_ROLLUP!C:C,A42))</f>
        <v/>
      </c>
      <c r="I42" s="5">
        <f>IF(A42="","",SUM(F42:H42))</f>
        <v/>
      </c>
      <c r="J42" s="5">
        <f>IF(A42="","",SUMIFS(ACCOUNT_ROLLUP!K:K,ACCOUNT_ROLLUP!C:C,A42))</f>
        <v/>
      </c>
      <c r="K42" s="5">
        <f>IF(A42="","",SUMIFS(ACCOUNT_ROLLUP!L:L,ACCOUNT_ROLLUP!C:C,A42))</f>
        <v/>
      </c>
      <c r="L42" s="5">
        <f>IF(A42="","",SUMIFS(ACCOUNT_ROLLUP!M:M,ACCOUNT_ROLLUP!C:C,A42))</f>
        <v/>
      </c>
      <c r="M42" s="5">
        <f>IF(A42="","",IFERROR(SUMPRODUCT(ACCOUNT_ROLLUP!N:N,ACCOUNT_ROLLUP!D:D,--(ACCOUNT_ROLLUP!C:C=A42))/IF(SUMIFS(ACCOUNT_ROLLUP!D:D,ACCOUNT_ROLLUP!C:C,A42)=0,NA(),SUMIFS(ACCOUNT_ROLLUP!D:D,ACCOUNT_ROLLUP!C:C,A42)),0))</f>
        <v/>
      </c>
    </row>
    <row r="43">
      <c r="A43" s="5">
        <f>IFERROR(INDEX(tblHouseholds[Household_ID],40),"")</f>
        <v/>
      </c>
      <c r="B43" s="5">
        <f>IF(A43="","",IFERROR(XLOOKUP(A43,tblHouseholds[Household_ID],tblHouseholds[Household_Name],""),""))</f>
        <v/>
      </c>
      <c r="C43" s="5">
        <f>IF(A43="","",SUMIFS(ACCOUNT_ROLLUP!D:D,ACCOUNT_ROLLUP!C:C,A43))</f>
        <v/>
      </c>
      <c r="D43" s="5">
        <f>IF(A43="","",SUMIFS(ACCOUNT_ROLLUP!E:E,ACCOUNT_ROLLUP!C:C,A43))</f>
        <v/>
      </c>
      <c r="E43" s="5">
        <f>IF(A43="","",SUMIFS(ACCOUNT_ROLLUP!F:F,ACCOUNT_ROLLUP!C:C,A43))</f>
        <v/>
      </c>
      <c r="F43" s="5">
        <f>IF(A43="","",SUMIFS(ACCOUNT_ROLLUP!G:G,ACCOUNT_ROLLUP!C:C,A43))</f>
        <v/>
      </c>
      <c r="G43" s="5">
        <f>IF(A43="","",SUMIFS(ACCOUNT_ROLLUP!H:H,ACCOUNT_ROLLUP!C:C,A43))</f>
        <v/>
      </c>
      <c r="H43" s="5">
        <f>IF(A43="","",SUMIFS(ACCOUNT_ROLLUP!I:I,ACCOUNT_ROLLUP!C:C,A43))</f>
        <v/>
      </c>
      <c r="I43" s="5">
        <f>IF(A43="","",SUM(F43:H43))</f>
        <v/>
      </c>
      <c r="J43" s="5">
        <f>IF(A43="","",SUMIFS(ACCOUNT_ROLLUP!K:K,ACCOUNT_ROLLUP!C:C,A43))</f>
        <v/>
      </c>
      <c r="K43" s="5">
        <f>IF(A43="","",SUMIFS(ACCOUNT_ROLLUP!L:L,ACCOUNT_ROLLUP!C:C,A43))</f>
        <v/>
      </c>
      <c r="L43" s="5">
        <f>IF(A43="","",SUMIFS(ACCOUNT_ROLLUP!M:M,ACCOUNT_ROLLUP!C:C,A43))</f>
        <v/>
      </c>
      <c r="M43" s="5">
        <f>IF(A43="","",IFERROR(SUMPRODUCT(ACCOUNT_ROLLUP!N:N,ACCOUNT_ROLLUP!D:D,--(ACCOUNT_ROLLUP!C:C=A43))/IF(SUMIFS(ACCOUNT_ROLLUP!D:D,ACCOUNT_ROLLUP!C:C,A43)=0,NA(),SUMIFS(ACCOUNT_ROLLUP!D:D,ACCOUNT_ROLLUP!C:C,A43)),0))</f>
        <v/>
      </c>
    </row>
    <row r="44">
      <c r="A44" s="5">
        <f>IFERROR(INDEX(tblHouseholds[Household_ID],41),"")</f>
        <v/>
      </c>
      <c r="B44" s="5">
        <f>IF(A44="","",IFERROR(XLOOKUP(A44,tblHouseholds[Household_ID],tblHouseholds[Household_Name],""),""))</f>
        <v/>
      </c>
      <c r="C44" s="5">
        <f>IF(A44="","",SUMIFS(ACCOUNT_ROLLUP!D:D,ACCOUNT_ROLLUP!C:C,A44))</f>
        <v/>
      </c>
      <c r="D44" s="5">
        <f>IF(A44="","",SUMIFS(ACCOUNT_ROLLUP!E:E,ACCOUNT_ROLLUP!C:C,A44))</f>
        <v/>
      </c>
      <c r="E44" s="5">
        <f>IF(A44="","",SUMIFS(ACCOUNT_ROLLUP!F:F,ACCOUNT_ROLLUP!C:C,A44))</f>
        <v/>
      </c>
      <c r="F44" s="5">
        <f>IF(A44="","",SUMIFS(ACCOUNT_ROLLUP!G:G,ACCOUNT_ROLLUP!C:C,A44))</f>
        <v/>
      </c>
      <c r="G44" s="5">
        <f>IF(A44="","",SUMIFS(ACCOUNT_ROLLUP!H:H,ACCOUNT_ROLLUP!C:C,A44))</f>
        <v/>
      </c>
      <c r="H44" s="5">
        <f>IF(A44="","",SUMIFS(ACCOUNT_ROLLUP!I:I,ACCOUNT_ROLLUP!C:C,A44))</f>
        <v/>
      </c>
      <c r="I44" s="5">
        <f>IF(A44="","",SUM(F44:H44))</f>
        <v/>
      </c>
      <c r="J44" s="5">
        <f>IF(A44="","",SUMIFS(ACCOUNT_ROLLUP!K:K,ACCOUNT_ROLLUP!C:C,A44))</f>
        <v/>
      </c>
      <c r="K44" s="5">
        <f>IF(A44="","",SUMIFS(ACCOUNT_ROLLUP!L:L,ACCOUNT_ROLLUP!C:C,A44))</f>
        <v/>
      </c>
      <c r="L44" s="5">
        <f>IF(A44="","",SUMIFS(ACCOUNT_ROLLUP!M:M,ACCOUNT_ROLLUP!C:C,A44))</f>
        <v/>
      </c>
      <c r="M44" s="5">
        <f>IF(A44="","",IFERROR(SUMPRODUCT(ACCOUNT_ROLLUP!N:N,ACCOUNT_ROLLUP!D:D,--(ACCOUNT_ROLLUP!C:C=A44))/IF(SUMIFS(ACCOUNT_ROLLUP!D:D,ACCOUNT_ROLLUP!C:C,A44)=0,NA(),SUMIFS(ACCOUNT_ROLLUP!D:D,ACCOUNT_ROLLUP!C:C,A44)),0))</f>
        <v/>
      </c>
    </row>
    <row r="45">
      <c r="A45" s="5">
        <f>IFERROR(INDEX(tblHouseholds[Household_ID],42),"")</f>
        <v/>
      </c>
      <c r="B45" s="5">
        <f>IF(A45="","",IFERROR(XLOOKUP(A45,tblHouseholds[Household_ID],tblHouseholds[Household_Name],""),""))</f>
        <v/>
      </c>
      <c r="C45" s="5">
        <f>IF(A45="","",SUMIFS(ACCOUNT_ROLLUP!D:D,ACCOUNT_ROLLUP!C:C,A45))</f>
        <v/>
      </c>
      <c r="D45" s="5">
        <f>IF(A45="","",SUMIFS(ACCOUNT_ROLLUP!E:E,ACCOUNT_ROLLUP!C:C,A45))</f>
        <v/>
      </c>
      <c r="E45" s="5">
        <f>IF(A45="","",SUMIFS(ACCOUNT_ROLLUP!F:F,ACCOUNT_ROLLUP!C:C,A45))</f>
        <v/>
      </c>
      <c r="F45" s="5">
        <f>IF(A45="","",SUMIFS(ACCOUNT_ROLLUP!G:G,ACCOUNT_ROLLUP!C:C,A45))</f>
        <v/>
      </c>
      <c r="G45" s="5">
        <f>IF(A45="","",SUMIFS(ACCOUNT_ROLLUP!H:H,ACCOUNT_ROLLUP!C:C,A45))</f>
        <v/>
      </c>
      <c r="H45" s="5">
        <f>IF(A45="","",SUMIFS(ACCOUNT_ROLLUP!I:I,ACCOUNT_ROLLUP!C:C,A45))</f>
        <v/>
      </c>
      <c r="I45" s="5">
        <f>IF(A45="","",SUM(F45:H45))</f>
        <v/>
      </c>
      <c r="J45" s="5">
        <f>IF(A45="","",SUMIFS(ACCOUNT_ROLLUP!K:K,ACCOUNT_ROLLUP!C:C,A45))</f>
        <v/>
      </c>
      <c r="K45" s="5">
        <f>IF(A45="","",SUMIFS(ACCOUNT_ROLLUP!L:L,ACCOUNT_ROLLUP!C:C,A45))</f>
        <v/>
      </c>
      <c r="L45" s="5">
        <f>IF(A45="","",SUMIFS(ACCOUNT_ROLLUP!M:M,ACCOUNT_ROLLUP!C:C,A45))</f>
        <v/>
      </c>
      <c r="M45" s="5">
        <f>IF(A45="","",IFERROR(SUMPRODUCT(ACCOUNT_ROLLUP!N:N,ACCOUNT_ROLLUP!D:D,--(ACCOUNT_ROLLUP!C:C=A45))/IF(SUMIFS(ACCOUNT_ROLLUP!D:D,ACCOUNT_ROLLUP!C:C,A45)=0,NA(),SUMIFS(ACCOUNT_ROLLUP!D:D,ACCOUNT_ROLLUP!C:C,A45)),0))</f>
        <v/>
      </c>
    </row>
    <row r="46">
      <c r="A46" s="5">
        <f>IFERROR(INDEX(tblHouseholds[Household_ID],43),"")</f>
        <v/>
      </c>
      <c r="B46" s="5">
        <f>IF(A46="","",IFERROR(XLOOKUP(A46,tblHouseholds[Household_ID],tblHouseholds[Household_Name],""),""))</f>
        <v/>
      </c>
      <c r="C46" s="5">
        <f>IF(A46="","",SUMIFS(ACCOUNT_ROLLUP!D:D,ACCOUNT_ROLLUP!C:C,A46))</f>
        <v/>
      </c>
      <c r="D46" s="5">
        <f>IF(A46="","",SUMIFS(ACCOUNT_ROLLUP!E:E,ACCOUNT_ROLLUP!C:C,A46))</f>
        <v/>
      </c>
      <c r="E46" s="5">
        <f>IF(A46="","",SUMIFS(ACCOUNT_ROLLUP!F:F,ACCOUNT_ROLLUP!C:C,A46))</f>
        <v/>
      </c>
      <c r="F46" s="5">
        <f>IF(A46="","",SUMIFS(ACCOUNT_ROLLUP!G:G,ACCOUNT_ROLLUP!C:C,A46))</f>
        <v/>
      </c>
      <c r="G46" s="5">
        <f>IF(A46="","",SUMIFS(ACCOUNT_ROLLUP!H:H,ACCOUNT_ROLLUP!C:C,A46))</f>
        <v/>
      </c>
      <c r="H46" s="5">
        <f>IF(A46="","",SUMIFS(ACCOUNT_ROLLUP!I:I,ACCOUNT_ROLLUP!C:C,A46))</f>
        <v/>
      </c>
      <c r="I46" s="5">
        <f>IF(A46="","",SUM(F46:H46))</f>
        <v/>
      </c>
      <c r="J46" s="5">
        <f>IF(A46="","",SUMIFS(ACCOUNT_ROLLUP!K:K,ACCOUNT_ROLLUP!C:C,A46))</f>
        <v/>
      </c>
      <c r="K46" s="5">
        <f>IF(A46="","",SUMIFS(ACCOUNT_ROLLUP!L:L,ACCOUNT_ROLLUP!C:C,A46))</f>
        <v/>
      </c>
      <c r="L46" s="5">
        <f>IF(A46="","",SUMIFS(ACCOUNT_ROLLUP!M:M,ACCOUNT_ROLLUP!C:C,A46))</f>
        <v/>
      </c>
      <c r="M46" s="5">
        <f>IF(A46="","",IFERROR(SUMPRODUCT(ACCOUNT_ROLLUP!N:N,ACCOUNT_ROLLUP!D:D,--(ACCOUNT_ROLLUP!C:C=A46))/IF(SUMIFS(ACCOUNT_ROLLUP!D:D,ACCOUNT_ROLLUP!C:C,A46)=0,NA(),SUMIFS(ACCOUNT_ROLLUP!D:D,ACCOUNT_ROLLUP!C:C,A46)),0))</f>
        <v/>
      </c>
    </row>
    <row r="47">
      <c r="A47" s="5">
        <f>IFERROR(INDEX(tblHouseholds[Household_ID],44),"")</f>
        <v/>
      </c>
      <c r="B47" s="5">
        <f>IF(A47="","",IFERROR(XLOOKUP(A47,tblHouseholds[Household_ID],tblHouseholds[Household_Name],""),""))</f>
        <v/>
      </c>
      <c r="C47" s="5">
        <f>IF(A47="","",SUMIFS(ACCOUNT_ROLLUP!D:D,ACCOUNT_ROLLUP!C:C,A47))</f>
        <v/>
      </c>
      <c r="D47" s="5">
        <f>IF(A47="","",SUMIFS(ACCOUNT_ROLLUP!E:E,ACCOUNT_ROLLUP!C:C,A47))</f>
        <v/>
      </c>
      <c r="E47" s="5">
        <f>IF(A47="","",SUMIFS(ACCOUNT_ROLLUP!F:F,ACCOUNT_ROLLUP!C:C,A47))</f>
        <v/>
      </c>
      <c r="F47" s="5">
        <f>IF(A47="","",SUMIFS(ACCOUNT_ROLLUP!G:G,ACCOUNT_ROLLUP!C:C,A47))</f>
        <v/>
      </c>
      <c r="G47" s="5">
        <f>IF(A47="","",SUMIFS(ACCOUNT_ROLLUP!H:H,ACCOUNT_ROLLUP!C:C,A47))</f>
        <v/>
      </c>
      <c r="H47" s="5">
        <f>IF(A47="","",SUMIFS(ACCOUNT_ROLLUP!I:I,ACCOUNT_ROLLUP!C:C,A47))</f>
        <v/>
      </c>
      <c r="I47" s="5">
        <f>IF(A47="","",SUM(F47:H47))</f>
        <v/>
      </c>
      <c r="J47" s="5">
        <f>IF(A47="","",SUMIFS(ACCOUNT_ROLLUP!K:K,ACCOUNT_ROLLUP!C:C,A47))</f>
        <v/>
      </c>
      <c r="K47" s="5">
        <f>IF(A47="","",SUMIFS(ACCOUNT_ROLLUP!L:L,ACCOUNT_ROLLUP!C:C,A47))</f>
        <v/>
      </c>
      <c r="L47" s="5">
        <f>IF(A47="","",SUMIFS(ACCOUNT_ROLLUP!M:M,ACCOUNT_ROLLUP!C:C,A47))</f>
        <v/>
      </c>
      <c r="M47" s="5">
        <f>IF(A47="","",IFERROR(SUMPRODUCT(ACCOUNT_ROLLUP!N:N,ACCOUNT_ROLLUP!D:D,--(ACCOUNT_ROLLUP!C:C=A47))/IF(SUMIFS(ACCOUNT_ROLLUP!D:D,ACCOUNT_ROLLUP!C:C,A47)=0,NA(),SUMIFS(ACCOUNT_ROLLUP!D:D,ACCOUNT_ROLLUP!C:C,A47)),0))</f>
        <v/>
      </c>
    </row>
    <row r="48">
      <c r="A48" s="5">
        <f>IFERROR(INDEX(tblHouseholds[Household_ID],45),"")</f>
        <v/>
      </c>
      <c r="B48" s="5">
        <f>IF(A48="","",IFERROR(XLOOKUP(A48,tblHouseholds[Household_ID],tblHouseholds[Household_Name],""),""))</f>
        <v/>
      </c>
      <c r="C48" s="5">
        <f>IF(A48="","",SUMIFS(ACCOUNT_ROLLUP!D:D,ACCOUNT_ROLLUP!C:C,A48))</f>
        <v/>
      </c>
      <c r="D48" s="5">
        <f>IF(A48="","",SUMIFS(ACCOUNT_ROLLUP!E:E,ACCOUNT_ROLLUP!C:C,A48))</f>
        <v/>
      </c>
      <c r="E48" s="5">
        <f>IF(A48="","",SUMIFS(ACCOUNT_ROLLUP!F:F,ACCOUNT_ROLLUP!C:C,A48))</f>
        <v/>
      </c>
      <c r="F48" s="5">
        <f>IF(A48="","",SUMIFS(ACCOUNT_ROLLUP!G:G,ACCOUNT_ROLLUP!C:C,A48))</f>
        <v/>
      </c>
      <c r="G48" s="5">
        <f>IF(A48="","",SUMIFS(ACCOUNT_ROLLUP!H:H,ACCOUNT_ROLLUP!C:C,A48))</f>
        <v/>
      </c>
      <c r="H48" s="5">
        <f>IF(A48="","",SUMIFS(ACCOUNT_ROLLUP!I:I,ACCOUNT_ROLLUP!C:C,A48))</f>
        <v/>
      </c>
      <c r="I48" s="5">
        <f>IF(A48="","",SUM(F48:H48))</f>
        <v/>
      </c>
      <c r="J48" s="5">
        <f>IF(A48="","",SUMIFS(ACCOUNT_ROLLUP!K:K,ACCOUNT_ROLLUP!C:C,A48))</f>
        <v/>
      </c>
      <c r="K48" s="5">
        <f>IF(A48="","",SUMIFS(ACCOUNT_ROLLUP!L:L,ACCOUNT_ROLLUP!C:C,A48))</f>
        <v/>
      </c>
      <c r="L48" s="5">
        <f>IF(A48="","",SUMIFS(ACCOUNT_ROLLUP!M:M,ACCOUNT_ROLLUP!C:C,A48))</f>
        <v/>
      </c>
      <c r="M48" s="5">
        <f>IF(A48="","",IFERROR(SUMPRODUCT(ACCOUNT_ROLLUP!N:N,ACCOUNT_ROLLUP!D:D,--(ACCOUNT_ROLLUP!C:C=A48))/IF(SUMIFS(ACCOUNT_ROLLUP!D:D,ACCOUNT_ROLLUP!C:C,A48)=0,NA(),SUMIFS(ACCOUNT_ROLLUP!D:D,ACCOUNT_ROLLUP!C:C,A48)),0))</f>
        <v/>
      </c>
    </row>
    <row r="49">
      <c r="A49" s="5">
        <f>IFERROR(INDEX(tblHouseholds[Household_ID],46),"")</f>
        <v/>
      </c>
      <c r="B49" s="5">
        <f>IF(A49="","",IFERROR(XLOOKUP(A49,tblHouseholds[Household_ID],tblHouseholds[Household_Name],""),""))</f>
        <v/>
      </c>
      <c r="C49" s="5">
        <f>IF(A49="","",SUMIFS(ACCOUNT_ROLLUP!D:D,ACCOUNT_ROLLUP!C:C,A49))</f>
        <v/>
      </c>
      <c r="D49" s="5">
        <f>IF(A49="","",SUMIFS(ACCOUNT_ROLLUP!E:E,ACCOUNT_ROLLUP!C:C,A49))</f>
        <v/>
      </c>
      <c r="E49" s="5">
        <f>IF(A49="","",SUMIFS(ACCOUNT_ROLLUP!F:F,ACCOUNT_ROLLUP!C:C,A49))</f>
        <v/>
      </c>
      <c r="F49" s="5">
        <f>IF(A49="","",SUMIFS(ACCOUNT_ROLLUP!G:G,ACCOUNT_ROLLUP!C:C,A49))</f>
        <v/>
      </c>
      <c r="G49" s="5">
        <f>IF(A49="","",SUMIFS(ACCOUNT_ROLLUP!H:H,ACCOUNT_ROLLUP!C:C,A49))</f>
        <v/>
      </c>
      <c r="H49" s="5">
        <f>IF(A49="","",SUMIFS(ACCOUNT_ROLLUP!I:I,ACCOUNT_ROLLUP!C:C,A49))</f>
        <v/>
      </c>
      <c r="I49" s="5">
        <f>IF(A49="","",SUM(F49:H49))</f>
        <v/>
      </c>
      <c r="J49" s="5">
        <f>IF(A49="","",SUMIFS(ACCOUNT_ROLLUP!K:K,ACCOUNT_ROLLUP!C:C,A49))</f>
        <v/>
      </c>
      <c r="K49" s="5">
        <f>IF(A49="","",SUMIFS(ACCOUNT_ROLLUP!L:L,ACCOUNT_ROLLUP!C:C,A49))</f>
        <v/>
      </c>
      <c r="L49" s="5">
        <f>IF(A49="","",SUMIFS(ACCOUNT_ROLLUP!M:M,ACCOUNT_ROLLUP!C:C,A49))</f>
        <v/>
      </c>
      <c r="M49" s="5">
        <f>IF(A49="","",IFERROR(SUMPRODUCT(ACCOUNT_ROLLUP!N:N,ACCOUNT_ROLLUP!D:D,--(ACCOUNT_ROLLUP!C:C=A49))/IF(SUMIFS(ACCOUNT_ROLLUP!D:D,ACCOUNT_ROLLUP!C:C,A49)=0,NA(),SUMIFS(ACCOUNT_ROLLUP!D:D,ACCOUNT_ROLLUP!C:C,A49)),0))</f>
        <v/>
      </c>
    </row>
    <row r="50">
      <c r="A50" s="5">
        <f>IFERROR(INDEX(tblHouseholds[Household_ID],47),"")</f>
        <v/>
      </c>
      <c r="B50" s="5">
        <f>IF(A50="","",IFERROR(XLOOKUP(A50,tblHouseholds[Household_ID],tblHouseholds[Household_Name],""),""))</f>
        <v/>
      </c>
      <c r="C50" s="5">
        <f>IF(A50="","",SUMIFS(ACCOUNT_ROLLUP!D:D,ACCOUNT_ROLLUP!C:C,A50))</f>
        <v/>
      </c>
      <c r="D50" s="5">
        <f>IF(A50="","",SUMIFS(ACCOUNT_ROLLUP!E:E,ACCOUNT_ROLLUP!C:C,A50))</f>
        <v/>
      </c>
      <c r="E50" s="5">
        <f>IF(A50="","",SUMIFS(ACCOUNT_ROLLUP!F:F,ACCOUNT_ROLLUP!C:C,A50))</f>
        <v/>
      </c>
      <c r="F50" s="5">
        <f>IF(A50="","",SUMIFS(ACCOUNT_ROLLUP!G:G,ACCOUNT_ROLLUP!C:C,A50))</f>
        <v/>
      </c>
      <c r="G50" s="5">
        <f>IF(A50="","",SUMIFS(ACCOUNT_ROLLUP!H:H,ACCOUNT_ROLLUP!C:C,A50))</f>
        <v/>
      </c>
      <c r="H50" s="5">
        <f>IF(A50="","",SUMIFS(ACCOUNT_ROLLUP!I:I,ACCOUNT_ROLLUP!C:C,A50))</f>
        <v/>
      </c>
      <c r="I50" s="5">
        <f>IF(A50="","",SUM(F50:H50))</f>
        <v/>
      </c>
      <c r="J50" s="5">
        <f>IF(A50="","",SUMIFS(ACCOUNT_ROLLUP!K:K,ACCOUNT_ROLLUP!C:C,A50))</f>
        <v/>
      </c>
      <c r="K50" s="5">
        <f>IF(A50="","",SUMIFS(ACCOUNT_ROLLUP!L:L,ACCOUNT_ROLLUP!C:C,A50))</f>
        <v/>
      </c>
      <c r="L50" s="5">
        <f>IF(A50="","",SUMIFS(ACCOUNT_ROLLUP!M:M,ACCOUNT_ROLLUP!C:C,A50))</f>
        <v/>
      </c>
      <c r="M50" s="5">
        <f>IF(A50="","",IFERROR(SUMPRODUCT(ACCOUNT_ROLLUP!N:N,ACCOUNT_ROLLUP!D:D,--(ACCOUNT_ROLLUP!C:C=A50))/IF(SUMIFS(ACCOUNT_ROLLUP!D:D,ACCOUNT_ROLLUP!C:C,A50)=0,NA(),SUMIFS(ACCOUNT_ROLLUP!D:D,ACCOUNT_ROLLUP!C:C,A50)),0))</f>
        <v/>
      </c>
    </row>
    <row r="51">
      <c r="A51" s="5">
        <f>IFERROR(INDEX(tblHouseholds[Household_ID],48),"")</f>
        <v/>
      </c>
      <c r="B51" s="5">
        <f>IF(A51="","",IFERROR(XLOOKUP(A51,tblHouseholds[Household_ID],tblHouseholds[Household_Name],""),""))</f>
        <v/>
      </c>
      <c r="C51" s="5">
        <f>IF(A51="","",SUMIFS(ACCOUNT_ROLLUP!D:D,ACCOUNT_ROLLUP!C:C,A51))</f>
        <v/>
      </c>
      <c r="D51" s="5">
        <f>IF(A51="","",SUMIFS(ACCOUNT_ROLLUP!E:E,ACCOUNT_ROLLUP!C:C,A51))</f>
        <v/>
      </c>
      <c r="E51" s="5">
        <f>IF(A51="","",SUMIFS(ACCOUNT_ROLLUP!F:F,ACCOUNT_ROLLUP!C:C,A51))</f>
        <v/>
      </c>
      <c r="F51" s="5">
        <f>IF(A51="","",SUMIFS(ACCOUNT_ROLLUP!G:G,ACCOUNT_ROLLUP!C:C,A51))</f>
        <v/>
      </c>
      <c r="G51" s="5">
        <f>IF(A51="","",SUMIFS(ACCOUNT_ROLLUP!H:H,ACCOUNT_ROLLUP!C:C,A51))</f>
        <v/>
      </c>
      <c r="H51" s="5">
        <f>IF(A51="","",SUMIFS(ACCOUNT_ROLLUP!I:I,ACCOUNT_ROLLUP!C:C,A51))</f>
        <v/>
      </c>
      <c r="I51" s="5">
        <f>IF(A51="","",SUM(F51:H51))</f>
        <v/>
      </c>
      <c r="J51" s="5">
        <f>IF(A51="","",SUMIFS(ACCOUNT_ROLLUP!K:K,ACCOUNT_ROLLUP!C:C,A51))</f>
        <v/>
      </c>
      <c r="K51" s="5">
        <f>IF(A51="","",SUMIFS(ACCOUNT_ROLLUP!L:L,ACCOUNT_ROLLUP!C:C,A51))</f>
        <v/>
      </c>
      <c r="L51" s="5">
        <f>IF(A51="","",SUMIFS(ACCOUNT_ROLLUP!M:M,ACCOUNT_ROLLUP!C:C,A51))</f>
        <v/>
      </c>
      <c r="M51" s="5">
        <f>IF(A51="","",IFERROR(SUMPRODUCT(ACCOUNT_ROLLUP!N:N,ACCOUNT_ROLLUP!D:D,--(ACCOUNT_ROLLUP!C:C=A51))/IF(SUMIFS(ACCOUNT_ROLLUP!D:D,ACCOUNT_ROLLUP!C:C,A51)=0,NA(),SUMIFS(ACCOUNT_ROLLUP!D:D,ACCOUNT_ROLLUP!C:C,A51)),0))</f>
        <v/>
      </c>
    </row>
    <row r="52">
      <c r="A52" s="5">
        <f>IFERROR(INDEX(tblHouseholds[Household_ID],49),"")</f>
        <v/>
      </c>
      <c r="B52" s="5">
        <f>IF(A52="","",IFERROR(XLOOKUP(A52,tblHouseholds[Household_ID],tblHouseholds[Household_Name],""),""))</f>
        <v/>
      </c>
      <c r="C52" s="5">
        <f>IF(A52="","",SUMIFS(ACCOUNT_ROLLUP!D:D,ACCOUNT_ROLLUP!C:C,A52))</f>
        <v/>
      </c>
      <c r="D52" s="5">
        <f>IF(A52="","",SUMIFS(ACCOUNT_ROLLUP!E:E,ACCOUNT_ROLLUP!C:C,A52))</f>
        <v/>
      </c>
      <c r="E52" s="5">
        <f>IF(A52="","",SUMIFS(ACCOUNT_ROLLUP!F:F,ACCOUNT_ROLLUP!C:C,A52))</f>
        <v/>
      </c>
      <c r="F52" s="5">
        <f>IF(A52="","",SUMIFS(ACCOUNT_ROLLUP!G:G,ACCOUNT_ROLLUP!C:C,A52))</f>
        <v/>
      </c>
      <c r="G52" s="5">
        <f>IF(A52="","",SUMIFS(ACCOUNT_ROLLUP!H:H,ACCOUNT_ROLLUP!C:C,A52))</f>
        <v/>
      </c>
      <c r="H52" s="5">
        <f>IF(A52="","",SUMIFS(ACCOUNT_ROLLUP!I:I,ACCOUNT_ROLLUP!C:C,A52))</f>
        <v/>
      </c>
      <c r="I52" s="5">
        <f>IF(A52="","",SUM(F52:H52))</f>
        <v/>
      </c>
      <c r="J52" s="5">
        <f>IF(A52="","",SUMIFS(ACCOUNT_ROLLUP!K:K,ACCOUNT_ROLLUP!C:C,A52))</f>
        <v/>
      </c>
      <c r="K52" s="5">
        <f>IF(A52="","",SUMIFS(ACCOUNT_ROLLUP!L:L,ACCOUNT_ROLLUP!C:C,A52))</f>
        <v/>
      </c>
      <c r="L52" s="5">
        <f>IF(A52="","",SUMIFS(ACCOUNT_ROLLUP!M:M,ACCOUNT_ROLLUP!C:C,A52))</f>
        <v/>
      </c>
      <c r="M52" s="5">
        <f>IF(A52="","",IFERROR(SUMPRODUCT(ACCOUNT_ROLLUP!N:N,ACCOUNT_ROLLUP!D:D,--(ACCOUNT_ROLLUP!C:C=A52))/IF(SUMIFS(ACCOUNT_ROLLUP!D:D,ACCOUNT_ROLLUP!C:C,A52)=0,NA(),SUMIFS(ACCOUNT_ROLLUP!D:D,ACCOUNT_ROLLUP!C:C,A52)),0))</f>
        <v/>
      </c>
    </row>
    <row r="53">
      <c r="A53" s="5">
        <f>IFERROR(INDEX(tblHouseholds[Household_ID],50),"")</f>
        <v/>
      </c>
      <c r="B53" s="5">
        <f>IF(A53="","",IFERROR(XLOOKUP(A53,tblHouseholds[Household_ID],tblHouseholds[Household_Name],""),""))</f>
        <v/>
      </c>
      <c r="C53" s="5">
        <f>IF(A53="","",SUMIFS(ACCOUNT_ROLLUP!D:D,ACCOUNT_ROLLUP!C:C,A53))</f>
        <v/>
      </c>
      <c r="D53" s="5">
        <f>IF(A53="","",SUMIFS(ACCOUNT_ROLLUP!E:E,ACCOUNT_ROLLUP!C:C,A53))</f>
        <v/>
      </c>
      <c r="E53" s="5">
        <f>IF(A53="","",SUMIFS(ACCOUNT_ROLLUP!F:F,ACCOUNT_ROLLUP!C:C,A53))</f>
        <v/>
      </c>
      <c r="F53" s="5">
        <f>IF(A53="","",SUMIFS(ACCOUNT_ROLLUP!G:G,ACCOUNT_ROLLUP!C:C,A53))</f>
        <v/>
      </c>
      <c r="G53" s="5">
        <f>IF(A53="","",SUMIFS(ACCOUNT_ROLLUP!H:H,ACCOUNT_ROLLUP!C:C,A53))</f>
        <v/>
      </c>
      <c r="H53" s="5">
        <f>IF(A53="","",SUMIFS(ACCOUNT_ROLLUP!I:I,ACCOUNT_ROLLUP!C:C,A53))</f>
        <v/>
      </c>
      <c r="I53" s="5">
        <f>IF(A53="","",SUM(F53:H53))</f>
        <v/>
      </c>
      <c r="J53" s="5">
        <f>IF(A53="","",SUMIFS(ACCOUNT_ROLLUP!K:K,ACCOUNT_ROLLUP!C:C,A53))</f>
        <v/>
      </c>
      <c r="K53" s="5">
        <f>IF(A53="","",SUMIFS(ACCOUNT_ROLLUP!L:L,ACCOUNT_ROLLUP!C:C,A53))</f>
        <v/>
      </c>
      <c r="L53" s="5">
        <f>IF(A53="","",SUMIFS(ACCOUNT_ROLLUP!M:M,ACCOUNT_ROLLUP!C:C,A53))</f>
        <v/>
      </c>
      <c r="M53" s="5">
        <f>IF(A53="","",IFERROR(SUMPRODUCT(ACCOUNT_ROLLUP!N:N,ACCOUNT_ROLLUP!D:D,--(ACCOUNT_ROLLUP!C:C=A53))/IF(SUMIFS(ACCOUNT_ROLLUP!D:D,ACCOUNT_ROLLUP!C:C,A53)=0,NA(),SUMIFS(ACCOUNT_ROLLUP!D:D,ACCOUNT_ROLLUP!C:C,A53)),0))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Security → Account → Household drill</t>
        </is>
      </c>
    </row>
    <row r="3">
      <c r="A3" s="7" t="inlineStr">
        <is>
          <t>Recommended: build a PivotTable from INPUT_SECURITY_DETAIL!tblSecDetail and place it on this sheet.</t>
        </is>
      </c>
    </row>
    <row r="5">
      <c r="A5" s="2" t="inlineStr">
        <is>
          <t>Suggested Pivot layout:</t>
        </is>
      </c>
    </row>
    <row r="6">
      <c r="A6" t="inlineStr">
        <is>
          <t>Rows: Household_ID, Account_ID, Security_ID (+ names)</t>
        </is>
      </c>
    </row>
    <row r="7">
      <c r="A7" t="inlineStr">
        <is>
          <t>Values: Market_Value_Base, Income_*_Base, Realized_GL_Base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Account → Household drill (filter ACCOUNT_ROLLUP)</t>
        </is>
      </c>
    </row>
    <row r="3">
      <c r="A3" s="7" t="inlineStr">
        <is>
          <t>Tip: Use table filters on ACCOUNT_ROLLUP to drill by Household_ID or Account.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6" customWidth="1" min="4" max="4"/>
    <col width="10" customWidth="1" min="5" max="5"/>
  </cols>
  <sheetData>
    <row r="1">
      <c r="A1" s="6" t="inlineStr">
        <is>
          <t>Reconciliation Checks (Household totals vs sum of accounts)</t>
        </is>
      </c>
    </row>
    <row r="3">
      <c r="A3" s="4" t="inlineStr">
        <is>
          <t>Metric</t>
        </is>
      </c>
      <c r="B3" s="4" t="inlineStr">
        <is>
          <t>Household_Total (sum of HH_SUMMARY)</t>
        </is>
      </c>
      <c r="C3" s="4" t="inlineStr">
        <is>
          <t>Account_Total (sum of ACCOUNT_ROLLUP)</t>
        </is>
      </c>
      <c r="D3" s="4" t="inlineStr">
        <is>
          <t>Difference</t>
        </is>
      </c>
      <c r="E3" s="4" t="inlineStr">
        <is>
          <t>Status</t>
        </is>
      </c>
    </row>
    <row r="4">
      <c r="A4" s="8" t="inlineStr">
        <is>
          <t>Begin_Balance_Base</t>
        </is>
      </c>
      <c r="B4" s="5">
        <f>SUM(HH_SUMMARY!C:C)</f>
        <v/>
      </c>
      <c r="C4" s="5">
        <f>SUM(ACCOUNT_ROLLUP!D:D)</f>
        <v/>
      </c>
      <c r="D4" s="5">
        <f>B4-C4</f>
        <v/>
      </c>
      <c r="E4" s="5">
        <f>IF(ABS(D4)&lt;0.01,"PASS","CHECK")</f>
        <v/>
      </c>
    </row>
    <row r="5">
      <c r="A5" s="8" t="inlineStr">
        <is>
          <t>End_Balance_Base</t>
        </is>
      </c>
      <c r="B5" s="5">
        <f>SUM(HH_SUMMARY!D:D)</f>
        <v/>
      </c>
      <c r="C5" s="5">
        <f>SUM(ACCOUNT_ROLLUP!E:E)</f>
        <v/>
      </c>
      <c r="D5" s="5">
        <f>B5-C5</f>
        <v/>
      </c>
      <c r="E5" s="5">
        <f>IF(ABS(D5)&lt;0.01,"PASS","CHECK")</f>
        <v/>
      </c>
    </row>
    <row r="6">
      <c r="A6" s="8" t="inlineStr">
        <is>
          <t>Net_Contrib_Base</t>
        </is>
      </c>
      <c r="B6" s="5">
        <f>SUM(HH_SUMMARY!E:E)</f>
        <v/>
      </c>
      <c r="C6" s="5">
        <f>SUM(ACCOUNT_ROLLUP!F:F)</f>
        <v/>
      </c>
      <c r="D6" s="5">
        <f>B6-C6</f>
        <v/>
      </c>
      <c r="E6" s="5">
        <f>IF(ABS(D6)&lt;0.01,"PASS","CHECK")</f>
        <v/>
      </c>
    </row>
    <row r="7">
      <c r="A7" s="8" t="inlineStr">
        <is>
          <t>Income_Interest_Base</t>
        </is>
      </c>
      <c r="B7" s="5">
        <f>SUM(HH_SUMMARY!F:F)</f>
        <v/>
      </c>
      <c r="C7" s="5">
        <f>SUM(ACCOUNT_ROLLUP!G:G)</f>
        <v/>
      </c>
      <c r="D7" s="5">
        <f>B7-C7</f>
        <v/>
      </c>
      <c r="E7" s="5">
        <f>IF(ABS(D7)&lt;0.01,"PASS","CHECK")</f>
        <v/>
      </c>
    </row>
    <row r="8">
      <c r="A8" s="8" t="inlineStr">
        <is>
          <t>Income_Dividends_Base</t>
        </is>
      </c>
      <c r="B8" s="5">
        <f>SUM(HH_SUMMARY!G:G)</f>
        <v/>
      </c>
      <c r="C8" s="5">
        <f>SUM(ACCOUNT_ROLLUP!H:H)</f>
        <v/>
      </c>
      <c r="D8" s="5">
        <f>B8-C8</f>
        <v/>
      </c>
      <c r="E8" s="5">
        <f>IF(ABS(D8)&lt;0.01,"PASS","CHECK")</f>
        <v/>
      </c>
    </row>
    <row r="9">
      <c r="A9" s="8" t="inlineStr">
        <is>
          <t>Income_Other_Base</t>
        </is>
      </c>
      <c r="B9" s="5">
        <f>SUM(HH_SUMMARY!H:H)</f>
        <v/>
      </c>
      <c r="C9" s="5">
        <f>SUM(ACCOUNT_ROLLUP!I:I)</f>
        <v/>
      </c>
      <c r="D9" s="5">
        <f>B9-C9</f>
        <v/>
      </c>
      <c r="E9" s="5">
        <f>IF(ABS(D9)&lt;0.01,"PASS","CHECK")</f>
        <v/>
      </c>
    </row>
    <row r="10">
      <c r="A10" s="8" t="inlineStr">
        <is>
          <t>Income_Total_Base</t>
        </is>
      </c>
      <c r="B10" s="5">
        <f>SUM(HH_SUMMARY!I:I)</f>
        <v/>
      </c>
      <c r="C10" s="5">
        <f>SUM(ACCOUNT_ROLLUP!J:J)</f>
        <v/>
      </c>
      <c r="D10" s="5">
        <f>B10-C10</f>
        <v/>
      </c>
      <c r="E10" s="5">
        <f>IF(ABS(D10)&lt;0.01,"PASS","CHECK")</f>
        <v/>
      </c>
    </row>
    <row r="11">
      <c r="A11" s="8" t="inlineStr">
        <is>
          <t>Realized_GL_Base</t>
        </is>
      </c>
      <c r="B11" s="5">
        <f>SUM(HH_SUMMARY!J:J)</f>
        <v/>
      </c>
      <c r="C11" s="5">
        <f>SUM(ACCOUNT_ROLLUP!K:K)</f>
        <v/>
      </c>
      <c r="D11" s="5">
        <f>B11-C11</f>
        <v/>
      </c>
      <c r="E11" s="5">
        <f>IF(ABS(D11)&lt;0.01,"PASS","CHECK")</f>
        <v/>
      </c>
    </row>
    <row r="12">
      <c r="A12" s="8" t="inlineStr">
        <is>
          <t>Fees_Base</t>
        </is>
      </c>
      <c r="B12" s="5">
        <f>SUM(HH_SUMMARY!K:K)</f>
        <v/>
      </c>
      <c r="C12" s="5">
        <f>SUM(ACCOUNT_ROLLUP!L:L)</f>
        <v/>
      </c>
      <c r="D12" s="5">
        <f>B12-C12</f>
        <v/>
      </c>
      <c r="E12" s="5">
        <f>IF(ABS(D12)&lt;0.01,"PASS","CHECK")</f>
        <v/>
      </c>
    </row>
    <row r="13">
      <c r="A13" s="8" t="inlineStr">
        <is>
          <t>Taxes_Base</t>
        </is>
      </c>
      <c r="B13" s="5">
        <f>SUM(HH_SUMMARY!L:L)</f>
        <v/>
      </c>
      <c r="C13" s="5">
        <f>SUM(ACCOUNT_ROLLUP!M:M)</f>
        <v/>
      </c>
      <c r="D13" s="5">
        <f>B13-C13</f>
        <v/>
      </c>
      <c r="E13" s="5">
        <f>IF(ABS(D13)&lt;0.01,"PASS","CHECK")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2026-01-06T02:54:09Z</dcterms:created>
  <dcterms:modified xmlns:dcterms="http://purl.org/dc/terms/" xmlns:xsi="http://www.w3.org/2001/XMLSchema-instance" xsi:type="dcterms:W3CDTF">2026-01-06T02:54:15Z</dcterms:modified>
</cp:coreProperties>
</file>